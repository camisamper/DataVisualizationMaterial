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samper\Dropbox\LIBRO\Repositorio de datos\"/>
    </mc:Choice>
  </mc:AlternateContent>
  <xr:revisionPtr revIDLastSave="0" documentId="13_ncr:1_{27CA939D-2609-409A-BED6-DE488948AF73}" xr6:coauthVersionLast="47" xr6:coauthVersionMax="47" xr10:uidLastSave="{00000000-0000-0000-0000-000000000000}"/>
  <bookViews>
    <workbookView xWindow="-120" yWindow="-120" windowWidth="29040" windowHeight="15840" activeTab="1" xr2:uid="{00000000-000D-0000-FFFF-FFFF00000000}"/>
  </bookViews>
  <sheets>
    <sheet name="PlainAccidentes" sheetId="14" r:id="rId1"/>
    <sheet name="PlainIntersecciones" sheetId="13" r:id="rId2"/>
    <sheet name="Accidentes" sheetId="1" state="hidden" r:id="rId3"/>
    <sheet name="Intersecciones" sheetId="2" state="hidden" r:id="rId4"/>
    <sheet name="TipoAccidente" sheetId="5" state="hidden" r:id="rId5"/>
    <sheet name="EstadoVia" sheetId="7" state="hidden" r:id="rId6"/>
    <sheet name="TipoVia" sheetId="8" state="hidden" r:id="rId7"/>
    <sheet name="TipoAutomovilResponsable" sheetId="9" state="hidden" r:id="rId8"/>
    <sheet name="TipoIntersección" sheetId="10" state="hidden" r:id="rId9"/>
    <sheet name="Limitevelocidad" sheetId="11" state="hidden" r:id="rId10"/>
    <sheet name="TipoClima" sheetId="6" state="hidden" r:id="rId11"/>
    <sheet name="Ciudades" sheetId="4" state="hidden" r:id="rId12"/>
  </sheets>
  <definedNames>
    <definedName name="_xlnm._FilterDatabase" localSheetId="0" hidden="1">PlainAccidentes!$A$1:$J$301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3" i="2" l="1"/>
  <c r="M2" i="2"/>
  <c r="M3" i="2"/>
  <c r="M4" i="2"/>
  <c r="M5" i="2"/>
  <c r="M6" i="2"/>
  <c r="M7" i="2"/>
  <c r="M8" i="2"/>
  <c r="M9" i="2"/>
  <c r="M10" i="2"/>
  <c r="M11" i="2"/>
  <c r="M12"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2" i="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2" i="2"/>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2" i="1"/>
  <c r="A3" i="11"/>
  <c r="A4" i="11" s="1"/>
  <c r="A5" i="11" s="1"/>
  <c r="A6" i="11" s="1"/>
  <c r="A7" i="11" s="1"/>
  <c r="A3" i="10"/>
  <c r="A4" i="10" s="1"/>
  <c r="A5" i="10" s="1"/>
  <c r="A6" i="10" s="1"/>
  <c r="A7" i="10" s="1"/>
  <c r="A3" i="9"/>
  <c r="A4" i="9" s="1"/>
  <c r="A5" i="9" s="1"/>
  <c r="A6" i="9" s="1"/>
  <c r="A7" i="9" s="1"/>
  <c r="A8" i="9" s="1"/>
  <c r="A9" i="9" s="1"/>
  <c r="A3" i="8"/>
  <c r="A4" i="8" s="1"/>
  <c r="A5" i="8" s="1"/>
  <c r="A6" i="8" s="1"/>
  <c r="A7" i="8" s="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2" i="1"/>
  <c r="A4" i="4"/>
  <c r="A5" i="4" s="1"/>
  <c r="A6" i="4" s="1"/>
  <c r="A7" i="4" s="1"/>
  <c r="A8" i="4" s="1"/>
  <c r="A9" i="4" s="1"/>
  <c r="A10" i="4" s="1"/>
  <c r="A11" i="4" s="1"/>
  <c r="A12" i="4" s="1"/>
  <c r="A13" i="4"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2">
    <bk>
      <extLst>
        <ext uri="{3e2802c4-a4d2-4d8b-9148-e3be6c30e623}">
          <xlrd:rvb i="0"/>
        </ext>
      </extLst>
    </bk>
    <bk>
      <extLst>
        <ext uri="{3e2802c4-a4d2-4d8b-9148-e3be6c30e623}">
          <xlrd:rvb i="13"/>
        </ext>
      </extLst>
    </bk>
    <bk>
      <extLst>
        <ext uri="{3e2802c4-a4d2-4d8b-9148-e3be6c30e623}">
          <xlrd:rvb i="25"/>
        </ext>
      </extLst>
    </bk>
    <bk>
      <extLst>
        <ext uri="{3e2802c4-a4d2-4d8b-9148-e3be6c30e623}">
          <xlrd:rvb i="36"/>
        </ext>
      </extLst>
    </bk>
    <bk>
      <extLst>
        <ext uri="{3e2802c4-a4d2-4d8b-9148-e3be6c30e623}">
          <xlrd:rvb i="48"/>
        </ext>
      </extLst>
    </bk>
    <bk>
      <extLst>
        <ext uri="{3e2802c4-a4d2-4d8b-9148-e3be6c30e623}">
          <xlrd:rvb i="59"/>
        </ext>
      </extLst>
    </bk>
    <bk>
      <extLst>
        <ext uri="{3e2802c4-a4d2-4d8b-9148-e3be6c30e623}">
          <xlrd:rvb i="70"/>
        </ext>
      </extLst>
    </bk>
    <bk>
      <extLst>
        <ext uri="{3e2802c4-a4d2-4d8b-9148-e3be6c30e623}">
          <xlrd:rvb i="83"/>
        </ext>
      </extLst>
    </bk>
    <bk>
      <extLst>
        <ext uri="{3e2802c4-a4d2-4d8b-9148-e3be6c30e623}">
          <xlrd:rvb i="94"/>
        </ext>
      </extLst>
    </bk>
    <bk>
      <extLst>
        <ext uri="{3e2802c4-a4d2-4d8b-9148-e3be6c30e623}">
          <xlrd:rvb i="105"/>
        </ext>
      </extLst>
    </bk>
    <bk>
      <extLst>
        <ext uri="{3e2802c4-a4d2-4d8b-9148-e3be6c30e623}">
          <xlrd:rvb i="115"/>
        </ext>
      </extLst>
    </bk>
    <bk>
      <extLst>
        <ext uri="{3e2802c4-a4d2-4d8b-9148-e3be6c30e623}">
          <xlrd:rvb i="127"/>
        </ext>
      </extLst>
    </bk>
  </futureMetadata>
  <valueMetadata count="12">
    <bk>
      <rc t="1" v="0"/>
    </bk>
    <bk>
      <rc t="1" v="1"/>
    </bk>
    <bk>
      <rc t="1" v="2"/>
    </bk>
    <bk>
      <rc t="1" v="3"/>
    </bk>
    <bk>
      <rc t="1" v="4"/>
    </bk>
    <bk>
      <rc t="1" v="5"/>
    </bk>
    <bk>
      <rc t="1" v="6"/>
    </bk>
    <bk>
      <rc t="1" v="7"/>
    </bk>
    <bk>
      <rc t="1" v="8"/>
    </bk>
    <bk>
      <rc t="1" v="9"/>
    </bk>
    <bk>
      <rc t="1" v="10"/>
    </bk>
    <bk>
      <rc t="1" v="11"/>
    </bk>
  </valueMetadata>
</metadata>
</file>

<file path=xl/sharedStrings.xml><?xml version="1.0" encoding="utf-8"?>
<sst xmlns="http://schemas.openxmlformats.org/spreadsheetml/2006/main" count="3460" uniqueCount="640">
  <si>
    <t>IdAccidente</t>
  </si>
  <si>
    <t>Fecha</t>
  </si>
  <si>
    <t>Hora</t>
  </si>
  <si>
    <t>IdInterseccion</t>
  </si>
  <si>
    <t>TipoAccidente</t>
  </si>
  <si>
    <t>VehiculosInvolucrados</t>
  </si>
  <si>
    <t>Heridos</t>
  </si>
  <si>
    <t>Fallecidos</t>
  </si>
  <si>
    <t>CondicionClimatica</t>
  </si>
  <si>
    <t>A001</t>
  </si>
  <si>
    <t>INT001</t>
  </si>
  <si>
    <t>A002</t>
  </si>
  <si>
    <t>INT002</t>
  </si>
  <si>
    <t>Atropello</t>
  </si>
  <si>
    <t>A003</t>
  </si>
  <si>
    <t>INT003</t>
  </si>
  <si>
    <t>A004</t>
  </si>
  <si>
    <t>INT004</t>
  </si>
  <si>
    <t>Volcamiento</t>
  </si>
  <si>
    <t>A005</t>
  </si>
  <si>
    <t>INT005</t>
  </si>
  <si>
    <t>A006</t>
  </si>
  <si>
    <t>INT006</t>
  </si>
  <si>
    <t>A007</t>
  </si>
  <si>
    <t>INT007</t>
  </si>
  <si>
    <t>A008</t>
  </si>
  <si>
    <t>INT008</t>
  </si>
  <si>
    <t>A009</t>
  </si>
  <si>
    <t>INT009</t>
  </si>
  <si>
    <t>A010</t>
  </si>
  <si>
    <t>INT010</t>
  </si>
  <si>
    <t>A011</t>
  </si>
  <si>
    <t>INT011</t>
  </si>
  <si>
    <t>A012</t>
  </si>
  <si>
    <t>INT012</t>
  </si>
  <si>
    <t>A013</t>
  </si>
  <si>
    <t>INT013</t>
  </si>
  <si>
    <t>A014</t>
  </si>
  <si>
    <t>INT014</t>
  </si>
  <si>
    <t>A015</t>
  </si>
  <si>
    <t>INT015</t>
  </si>
  <si>
    <t>A016</t>
  </si>
  <si>
    <t>INT016</t>
  </si>
  <si>
    <t>A017</t>
  </si>
  <si>
    <t>INT017</t>
  </si>
  <si>
    <t>A018</t>
  </si>
  <si>
    <t>INT018</t>
  </si>
  <si>
    <t>A019</t>
  </si>
  <si>
    <t>INT019</t>
  </si>
  <si>
    <t>A020</t>
  </si>
  <si>
    <t>INT020</t>
  </si>
  <si>
    <t>A021</t>
  </si>
  <si>
    <t>INT021</t>
  </si>
  <si>
    <t>A022</t>
  </si>
  <si>
    <t>INT022</t>
  </si>
  <si>
    <t>A023</t>
  </si>
  <si>
    <t>INT023</t>
  </si>
  <si>
    <t>A024</t>
  </si>
  <si>
    <t>INT024</t>
  </si>
  <si>
    <t>A025</t>
  </si>
  <si>
    <t>INT025</t>
  </si>
  <si>
    <t>A026</t>
  </si>
  <si>
    <t>INT026</t>
  </si>
  <si>
    <t>A027</t>
  </si>
  <si>
    <t>INT027</t>
  </si>
  <si>
    <t>A028</t>
  </si>
  <si>
    <t>INT028</t>
  </si>
  <si>
    <t>A029</t>
  </si>
  <si>
    <t>INT029</t>
  </si>
  <si>
    <t>A030</t>
  </si>
  <si>
    <t>INT030</t>
  </si>
  <si>
    <t>A031</t>
  </si>
  <si>
    <t>INT031</t>
  </si>
  <si>
    <t>A032</t>
  </si>
  <si>
    <t>INT032</t>
  </si>
  <si>
    <t>A033</t>
  </si>
  <si>
    <t>INT033</t>
  </si>
  <si>
    <t>A034</t>
  </si>
  <si>
    <t>INT034</t>
  </si>
  <si>
    <t>A035</t>
  </si>
  <si>
    <t>INT035</t>
  </si>
  <si>
    <t>A036</t>
  </si>
  <si>
    <t>INT036</t>
  </si>
  <si>
    <t>A037</t>
  </si>
  <si>
    <t>INT037</t>
  </si>
  <si>
    <t>A038</t>
  </si>
  <si>
    <t>INT038</t>
  </si>
  <si>
    <t>A039</t>
  </si>
  <si>
    <t>INT039</t>
  </si>
  <si>
    <t>A040</t>
  </si>
  <si>
    <t>INT040</t>
  </si>
  <si>
    <t>A041</t>
  </si>
  <si>
    <t>INT041</t>
  </si>
  <si>
    <t>A042</t>
  </si>
  <si>
    <t>INT042</t>
  </si>
  <si>
    <t>A043</t>
  </si>
  <si>
    <t>INT043</t>
  </si>
  <si>
    <t>A044</t>
  </si>
  <si>
    <t>INT044</t>
  </si>
  <si>
    <t>A045</t>
  </si>
  <si>
    <t>INT045</t>
  </si>
  <si>
    <t>A046</t>
  </si>
  <si>
    <t>INT046</t>
  </si>
  <si>
    <t>A047</t>
  </si>
  <si>
    <t>INT047</t>
  </si>
  <si>
    <t>A048</t>
  </si>
  <si>
    <t>INT048</t>
  </si>
  <si>
    <t>A049</t>
  </si>
  <si>
    <t>INT049</t>
  </si>
  <si>
    <t>A050</t>
  </si>
  <si>
    <t>INT050</t>
  </si>
  <si>
    <t>NombreInterseccion</t>
  </si>
  <si>
    <t>Ciudad</t>
  </si>
  <si>
    <t>Departamento</t>
  </si>
  <si>
    <t>Latitud</t>
  </si>
  <si>
    <t>Longitud</t>
  </si>
  <si>
    <t>TipoVia</t>
  </si>
  <si>
    <t>Semaforo</t>
  </si>
  <si>
    <t>Intersección 1</t>
  </si>
  <si>
    <t>Bogotá</t>
  </si>
  <si>
    <t>Local</t>
  </si>
  <si>
    <t>Sí</t>
  </si>
  <si>
    <t>Intersección 2</t>
  </si>
  <si>
    <t>Medellín</t>
  </si>
  <si>
    <t>Arterial</t>
  </si>
  <si>
    <t>Intersección 3</t>
  </si>
  <si>
    <t>Cali</t>
  </si>
  <si>
    <t>Colectora</t>
  </si>
  <si>
    <t>Intersección 4</t>
  </si>
  <si>
    <t>Barranquilla</t>
  </si>
  <si>
    <t>Intersección 5</t>
  </si>
  <si>
    <t>Cartagena</t>
  </si>
  <si>
    <t>No</t>
  </si>
  <si>
    <t>Intersección 6</t>
  </si>
  <si>
    <t>Intersección 7</t>
  </si>
  <si>
    <t>Intersección 8</t>
  </si>
  <si>
    <t>Intersección 9</t>
  </si>
  <si>
    <t>Intersección 10</t>
  </si>
  <si>
    <t>Intersección 11</t>
  </si>
  <si>
    <t>Intersección 12</t>
  </si>
  <si>
    <t>Intersección 13</t>
  </si>
  <si>
    <t>Intersección 14</t>
  </si>
  <si>
    <t>Intersección 15</t>
  </si>
  <si>
    <t>Intersección 16</t>
  </si>
  <si>
    <t>Intersección 17</t>
  </si>
  <si>
    <t>Intersección 18</t>
  </si>
  <si>
    <t>Intersección 19</t>
  </si>
  <si>
    <t>Intersección 20</t>
  </si>
  <si>
    <t>Intersección 21</t>
  </si>
  <si>
    <t>Intersección 22</t>
  </si>
  <si>
    <t>Intersección 23</t>
  </si>
  <si>
    <t>Intersección 24</t>
  </si>
  <si>
    <t>Intersección 25</t>
  </si>
  <si>
    <t>Intersección 26</t>
  </si>
  <si>
    <t>Intersección 27</t>
  </si>
  <si>
    <t>Intersección 28</t>
  </si>
  <si>
    <t>Intersección 29</t>
  </si>
  <si>
    <t>Intersección 30</t>
  </si>
  <si>
    <t>Intersección 31</t>
  </si>
  <si>
    <t>Intersección 32</t>
  </si>
  <si>
    <t>Intersección 33</t>
  </si>
  <si>
    <t>Intersección 34</t>
  </si>
  <si>
    <t>Intersección 35</t>
  </si>
  <si>
    <t>Intersección 36</t>
  </si>
  <si>
    <t>Intersección 37</t>
  </si>
  <si>
    <t>Intersección 38</t>
  </si>
  <si>
    <t>Intersección 39</t>
  </si>
  <si>
    <t>Intersección 40</t>
  </si>
  <si>
    <t>Intersección 41</t>
  </si>
  <si>
    <t>Intersección 42</t>
  </si>
  <si>
    <t>Intersección 43</t>
  </si>
  <si>
    <t>Intersección 44</t>
  </si>
  <si>
    <t>Intersección 45</t>
  </si>
  <si>
    <t>Intersección 46</t>
  </si>
  <si>
    <t>Intersección 47</t>
  </si>
  <si>
    <t>Intersección 48</t>
  </si>
  <si>
    <t>Intersección 49</t>
  </si>
  <si>
    <t>Intersección 50</t>
  </si>
  <si>
    <t>A051</t>
  </si>
  <si>
    <t>A052</t>
  </si>
  <si>
    <t>A053</t>
  </si>
  <si>
    <t>A054</t>
  </si>
  <si>
    <t>A055</t>
  </si>
  <si>
    <t>A056</t>
  </si>
  <si>
    <t>A057</t>
  </si>
  <si>
    <t>A058</t>
  </si>
  <si>
    <t>A059</t>
  </si>
  <si>
    <t>A060</t>
  </si>
  <si>
    <t>A061</t>
  </si>
  <si>
    <t>A062</t>
  </si>
  <si>
    <t>A063</t>
  </si>
  <si>
    <t>A064</t>
  </si>
  <si>
    <t>A065</t>
  </si>
  <si>
    <t>A066</t>
  </si>
  <si>
    <t>A067</t>
  </si>
  <si>
    <t>A068</t>
  </si>
  <si>
    <t>A069</t>
  </si>
  <si>
    <t>A070</t>
  </si>
  <si>
    <t>A071</t>
  </si>
  <si>
    <t>A072</t>
  </si>
  <si>
    <t>A073</t>
  </si>
  <si>
    <t>A074</t>
  </si>
  <si>
    <t>A075</t>
  </si>
  <si>
    <t>A076</t>
  </si>
  <si>
    <t>A077</t>
  </si>
  <si>
    <t>A078</t>
  </si>
  <si>
    <t>A079</t>
  </si>
  <si>
    <t>A080</t>
  </si>
  <si>
    <t>A081</t>
  </si>
  <si>
    <t>A082</t>
  </si>
  <si>
    <t>A083</t>
  </si>
  <si>
    <t>A084</t>
  </si>
  <si>
    <t>A085</t>
  </si>
  <si>
    <t>A086</t>
  </si>
  <si>
    <t>A087</t>
  </si>
  <si>
    <t>A088</t>
  </si>
  <si>
    <t>A089</t>
  </si>
  <si>
    <t>A090</t>
  </si>
  <si>
    <t>A091</t>
  </si>
  <si>
    <t>A092</t>
  </si>
  <si>
    <t>A093</t>
  </si>
  <si>
    <t>A094</t>
  </si>
  <si>
    <t>A095</t>
  </si>
  <si>
    <t>A096</t>
  </si>
  <si>
    <t>A097</t>
  </si>
  <si>
    <t>A098</t>
  </si>
  <si>
    <t>A099</t>
  </si>
  <si>
    <t>A100</t>
  </si>
  <si>
    <t>Ciudades</t>
  </si>
  <si>
    <t>Manizales</t>
  </si>
  <si>
    <t>Cúcuta</t>
  </si>
  <si>
    <t>Villavicencio</t>
  </si>
  <si>
    <t>Bucaramanga</t>
  </si>
  <si>
    <t>Santa Marta</t>
  </si>
  <si>
    <t>Pereira</t>
  </si>
  <si>
    <t>Puerto Estrella</t>
  </si>
  <si>
    <t>IdCiudad</t>
  </si>
  <si>
    <t>INT051</t>
  </si>
  <si>
    <t>INT052</t>
  </si>
  <si>
    <t>INT053</t>
  </si>
  <si>
    <t>INT054</t>
  </si>
  <si>
    <t>INT055</t>
  </si>
  <si>
    <t>INT056</t>
  </si>
  <si>
    <t>INT057</t>
  </si>
  <si>
    <t>INT058</t>
  </si>
  <si>
    <t>INT059</t>
  </si>
  <si>
    <t>INT060</t>
  </si>
  <si>
    <t>INT061</t>
  </si>
  <si>
    <t>INT062</t>
  </si>
  <si>
    <t>INT063</t>
  </si>
  <si>
    <t>INT064</t>
  </si>
  <si>
    <t>INT065</t>
  </si>
  <si>
    <t>INT066</t>
  </si>
  <si>
    <t>INT067</t>
  </si>
  <si>
    <t>INT068</t>
  </si>
  <si>
    <t>INT069</t>
  </si>
  <si>
    <t>INT070</t>
  </si>
  <si>
    <t>INT071</t>
  </si>
  <si>
    <t>INT072</t>
  </si>
  <si>
    <t>INT073</t>
  </si>
  <si>
    <t>INT074</t>
  </si>
  <si>
    <t>INT075</t>
  </si>
  <si>
    <t>INT076</t>
  </si>
  <si>
    <t>INT077</t>
  </si>
  <si>
    <t>INT078</t>
  </si>
  <si>
    <t>INT079</t>
  </si>
  <si>
    <t>INT080</t>
  </si>
  <si>
    <t>INT081</t>
  </si>
  <si>
    <t>INT082</t>
  </si>
  <si>
    <t>INT083</t>
  </si>
  <si>
    <t>#</t>
  </si>
  <si>
    <t>INT084</t>
  </si>
  <si>
    <t>INT085</t>
  </si>
  <si>
    <t>INT086</t>
  </si>
  <si>
    <t>INT087</t>
  </si>
  <si>
    <t>INT088</t>
  </si>
  <si>
    <t>INT089</t>
  </si>
  <si>
    <t>INT090</t>
  </si>
  <si>
    <t>INT091</t>
  </si>
  <si>
    <t>INT092</t>
  </si>
  <si>
    <t>INT093</t>
  </si>
  <si>
    <t>INT094</t>
  </si>
  <si>
    <t>INT095</t>
  </si>
  <si>
    <t>INT096</t>
  </si>
  <si>
    <t>INT097</t>
  </si>
  <si>
    <t>INT098</t>
  </si>
  <si>
    <t>INT099</t>
  </si>
  <si>
    <t>INT100</t>
  </si>
  <si>
    <t>Intersección 51</t>
  </si>
  <si>
    <t>Intersección 52</t>
  </si>
  <si>
    <t>Intersección 53</t>
  </si>
  <si>
    <t>Intersección 54</t>
  </si>
  <si>
    <t>Intersección 55</t>
  </si>
  <si>
    <t>Intersección 56</t>
  </si>
  <si>
    <t>Intersección 57</t>
  </si>
  <si>
    <t>Intersección 58</t>
  </si>
  <si>
    <t>Intersección 59</t>
  </si>
  <si>
    <t>Intersección 60</t>
  </si>
  <si>
    <t>Intersección 61</t>
  </si>
  <si>
    <t>Intersección 62</t>
  </si>
  <si>
    <t>Intersección 63</t>
  </si>
  <si>
    <t>Intersección 64</t>
  </si>
  <si>
    <t>Intersección 65</t>
  </si>
  <si>
    <t>Intersección 66</t>
  </si>
  <si>
    <t>Intersección 67</t>
  </si>
  <si>
    <t>Intersección 68</t>
  </si>
  <si>
    <t>Intersección 69</t>
  </si>
  <si>
    <t>Intersección 70</t>
  </si>
  <si>
    <t>Intersección 71</t>
  </si>
  <si>
    <t>Intersección 72</t>
  </si>
  <si>
    <t>Intersección 73</t>
  </si>
  <si>
    <t>Intersección 74</t>
  </si>
  <si>
    <t>Intersección 75</t>
  </si>
  <si>
    <t>Intersección 76</t>
  </si>
  <si>
    <t>Intersección 77</t>
  </si>
  <si>
    <t>Intersección 78</t>
  </si>
  <si>
    <t>Intersección 79</t>
  </si>
  <si>
    <t>Intersección 80</t>
  </si>
  <si>
    <t>Intersección 81</t>
  </si>
  <si>
    <t>Intersección 82</t>
  </si>
  <si>
    <t>Intersección 83</t>
  </si>
  <si>
    <t>Intersección 84</t>
  </si>
  <si>
    <t>Intersección 85</t>
  </si>
  <si>
    <t>Intersección 86</t>
  </si>
  <si>
    <t>Intersección 87</t>
  </si>
  <si>
    <t>Intersección 88</t>
  </si>
  <si>
    <t>Intersección 89</t>
  </si>
  <si>
    <t>Intersección 90</t>
  </si>
  <si>
    <t>Intersección 91</t>
  </si>
  <si>
    <t>Intersección 92</t>
  </si>
  <si>
    <t>Intersección 93</t>
  </si>
  <si>
    <t>Intersección 94</t>
  </si>
  <si>
    <t>Intersección 95</t>
  </si>
  <si>
    <t>Intersección 96</t>
  </si>
  <si>
    <t>Intersección 97</t>
  </si>
  <si>
    <t>Intersección 98</t>
  </si>
  <si>
    <t>Intersección 99</t>
  </si>
  <si>
    <t>Intersección 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</si>
  <si>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</si>
  <si>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</si>
  <si>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</si>
  <si>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</si>
  <si>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</si>
  <si>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</si>
  <si>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</si>
  <si>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</si>
  <si>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</si>
  <si>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</si>
  <si>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</si>
  <si>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</si>
  <si>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</si>
  <si>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</si>
  <si>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</si>
  <si>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</si>
  <si>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</si>
  <si>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</si>
  <si>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</si>
  <si>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</si>
  <si>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</si>
  <si>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</si>
  <si>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</si>
  <si>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</si>
  <si>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</si>
  <si>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</si>
  <si>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</si>
  <si>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</si>
  <si>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</si>
  <si>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</si>
  <si>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</si>
  <si>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</si>
  <si>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</si>
  <si>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</si>
  <si>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</si>
  <si>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</si>
  <si>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</si>
  <si>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</si>
  <si>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</si>
  <si>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</si>
  <si>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</si>
  <si>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</si>
  <si>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</si>
  <si>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</si>
  <si>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</si>
  <si>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</si>
  <si>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</si>
  <si>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</si>
  <si>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</si>
  <si>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</si>
  <si>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</si>
  <si>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</si>
  <si>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</si>
  <si>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</si>
  <si>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</si>
  <si>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</si>
  <si>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</si>
  <si>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</si>
  <si>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</si>
  <si>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</si>
  <si>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</si>
  <si>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</si>
  <si>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A163</t>
  </si>
  <si>
    <t>A164</t>
  </si>
  <si>
    <t>A165</t>
  </si>
  <si>
    <t>A166</t>
  </si>
  <si>
    <t>A167</t>
  </si>
  <si>
    <t>A168</t>
  </si>
  <si>
    <t>A169</t>
  </si>
  <si>
    <t>A170</t>
  </si>
  <si>
    <t>A171</t>
  </si>
  <si>
    <t>A172</t>
  </si>
  <si>
    <t>A173</t>
  </si>
  <si>
    <t>A174</t>
  </si>
  <si>
    <t>A175</t>
  </si>
  <si>
    <t>A176</t>
  </si>
  <si>
    <t>A177</t>
  </si>
  <si>
    <t>A178</t>
  </si>
  <si>
    <t>A179</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</si>
  <si>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</si>
  <si>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</si>
  <si>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</si>
  <si>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</si>
  <si>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</si>
  <si>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</si>
  <si>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</si>
  <si>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</si>
  <si>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</si>
  <si>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</si>
  <si>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</si>
  <si>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</si>
  <si>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</si>
  <si>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</si>
  <si>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</si>
  <si>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</si>
  <si>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</si>
  <si>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</si>
  <si>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</si>
  <si>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</si>
  <si>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</si>
  <si>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A201</t>
  </si>
  <si>
    <t>A202</t>
  </si>
  <si>
    <t>A203</t>
  </si>
  <si>
    <t>A204</t>
  </si>
  <si>
    <t>A205</t>
  </si>
  <si>
    <t>A206</t>
  </si>
  <si>
    <t>A207</t>
  </si>
  <si>
    <t>A208</t>
  </si>
  <si>
    <t>A209</t>
  </si>
  <si>
    <t>A210</t>
  </si>
  <si>
    <t>A211</t>
  </si>
  <si>
    <t>A212</t>
  </si>
  <si>
    <t>A213</t>
  </si>
  <si>
    <t>A214</t>
  </si>
  <si>
    <t>A215</t>
  </si>
  <si>
    <t>A216</t>
  </si>
  <si>
    <t>A217</t>
  </si>
  <si>
    <t>A218</t>
  </si>
  <si>
    <t>A219</t>
  </si>
  <si>
    <t>A220</t>
  </si>
  <si>
    <t>A221</t>
  </si>
  <si>
    <t>A222</t>
  </si>
  <si>
    <t>A223</t>
  </si>
  <si>
    <t>A224</t>
  </si>
  <si>
    <t>A225</t>
  </si>
  <si>
    <t>A226</t>
  </si>
  <si>
    <t>A227</t>
  </si>
  <si>
    <t>A228</t>
  </si>
  <si>
    <t>A229</t>
  </si>
  <si>
    <t>A230</t>
  </si>
  <si>
    <t>A231</t>
  </si>
  <si>
    <t>A232</t>
  </si>
  <si>
    <t>A233</t>
  </si>
  <si>
    <t>A234</t>
  </si>
  <si>
    <t>A235</t>
  </si>
  <si>
    <t>A236</t>
  </si>
  <si>
    <t>A237</t>
  </si>
  <si>
    <t>A238</t>
  </si>
  <si>
    <t>A239</t>
  </si>
  <si>
    <t>A240</t>
  </si>
  <si>
    <t>A241</t>
  </si>
  <si>
    <t>A242</t>
  </si>
  <si>
    <t>A243</t>
  </si>
  <si>
    <t>A244</t>
  </si>
  <si>
    <t>A245</t>
  </si>
  <si>
    <t>A246</t>
  </si>
  <si>
    <t>A247</t>
  </si>
  <si>
    <t>A248</t>
  </si>
  <si>
    <t>A249</t>
  </si>
  <si>
    <t>A250</t>
  </si>
  <si>
    <t>A251</t>
  </si>
  <si>
    <t>A252</t>
  </si>
  <si>
    <t>A253</t>
  </si>
  <si>
    <t>A254</t>
  </si>
  <si>
    <t>A255</t>
  </si>
  <si>
    <t>A256</t>
  </si>
  <si>
    <t>A257</t>
  </si>
  <si>
    <t>A258</t>
  </si>
  <si>
    <t>A259</t>
  </si>
  <si>
    <t>A260</t>
  </si>
  <si>
    <t>A261</t>
  </si>
  <si>
    <t>A262</t>
  </si>
  <si>
    <t>A263</t>
  </si>
  <si>
    <t>A264</t>
  </si>
  <si>
    <t>A265</t>
  </si>
  <si>
    <t>A266</t>
  </si>
  <si>
    <t>A267</t>
  </si>
  <si>
    <t>A268</t>
  </si>
  <si>
    <t>A269</t>
  </si>
  <si>
    <t>A270</t>
  </si>
  <si>
    <t>A271</t>
  </si>
  <si>
    <t>A272</t>
  </si>
  <si>
    <t>A273</t>
  </si>
  <si>
    <t>A274</t>
  </si>
  <si>
    <t>A275</t>
  </si>
  <si>
    <t>A276</t>
  </si>
  <si>
    <t>A277</t>
  </si>
  <si>
    <t>A278</t>
  </si>
  <si>
    <t>A279</t>
  </si>
  <si>
    <t>A280</t>
  </si>
  <si>
    <t>A281</t>
  </si>
  <si>
    <t>A282</t>
  </si>
  <si>
    <t>A283</t>
  </si>
  <si>
    <t>A284</t>
  </si>
  <si>
    <t>A285</t>
  </si>
  <si>
    <t>A286</t>
  </si>
  <si>
    <t>A287</t>
  </si>
  <si>
    <t>A288</t>
  </si>
  <si>
    <t>A289</t>
  </si>
  <si>
    <t>A290</t>
  </si>
  <si>
    <t>A291</t>
  </si>
  <si>
    <t>A292</t>
  </si>
  <si>
    <t>A293</t>
  </si>
  <si>
    <t>A294</t>
  </si>
  <si>
    <t>A295</t>
  </si>
  <si>
    <t>A296</t>
  </si>
  <si>
    <t>A297</t>
  </si>
  <si>
    <t>A298</t>
  </si>
  <si>
    <t>A299</t>
  </si>
  <si>
    <t>A300</t>
  </si>
  <si>
    <t>IdTipoAccidente</t>
  </si>
  <si>
    <t>TA01</t>
  </si>
  <si>
    <t>Choque entre vehículos</t>
  </si>
  <si>
    <t>TA02</t>
  </si>
  <si>
    <t>TA03</t>
  </si>
  <si>
    <t>TA05</t>
  </si>
  <si>
    <t>TA06</t>
  </si>
  <si>
    <t>Colisión con objeto fijo</t>
  </si>
  <si>
    <t>IdClima</t>
  </si>
  <si>
    <t>Condición</t>
  </si>
  <si>
    <t>C01</t>
  </si>
  <si>
    <t>Soleado</t>
  </si>
  <si>
    <t>C02</t>
  </si>
  <si>
    <t>Nublado</t>
  </si>
  <si>
    <t>C03</t>
  </si>
  <si>
    <t>Lluvia ligera</t>
  </si>
  <si>
    <t>C04</t>
  </si>
  <si>
    <t>Lluvia intensa</t>
  </si>
  <si>
    <t>C05</t>
  </si>
  <si>
    <t>Neblina</t>
  </si>
  <si>
    <t>C06</t>
  </si>
  <si>
    <t>Viento fuerte</t>
  </si>
  <si>
    <t>IdEstadoVia</t>
  </si>
  <si>
    <t>Estado</t>
  </si>
  <si>
    <t>EV01</t>
  </si>
  <si>
    <t>Excelente</t>
  </si>
  <si>
    <t>EV02</t>
  </si>
  <si>
    <t>Bueno</t>
  </si>
  <si>
    <t>EV03</t>
  </si>
  <si>
    <t>Regular</t>
  </si>
  <si>
    <t>EV04</t>
  </si>
  <si>
    <t>Malo</t>
  </si>
  <si>
    <t>EV05</t>
  </si>
  <si>
    <t>En mantenimiento</t>
  </si>
  <si>
    <t>IdTipoVia</t>
  </si>
  <si>
    <t>Tipo de vía</t>
  </si>
  <si>
    <t>TV01</t>
  </si>
  <si>
    <t>TV02</t>
  </si>
  <si>
    <t>TV03</t>
  </si>
  <si>
    <t>TV04</t>
  </si>
  <si>
    <t>Autopista</t>
  </si>
  <si>
    <t>TV05</t>
  </si>
  <si>
    <t>Avenida</t>
  </si>
  <si>
    <t>TV06</t>
  </si>
  <si>
    <t>Carretera nacional</t>
  </si>
  <si>
    <t>IdTipoVehiculo</t>
  </si>
  <si>
    <t>Tipo</t>
  </si>
  <si>
    <t>V01</t>
  </si>
  <si>
    <t>Automóvil</t>
  </si>
  <si>
    <t>V02</t>
  </si>
  <si>
    <t>Motocicleta</t>
  </si>
  <si>
    <t>V03</t>
  </si>
  <si>
    <t>Bus</t>
  </si>
  <si>
    <t>V04</t>
  </si>
  <si>
    <t>Camión</t>
  </si>
  <si>
    <t>V05</t>
  </si>
  <si>
    <t>Bicicleta</t>
  </si>
  <si>
    <t>V06</t>
  </si>
  <si>
    <t>Taxi</t>
  </si>
  <si>
    <t>V07</t>
  </si>
  <si>
    <t>Camioneta</t>
  </si>
  <si>
    <t>V08</t>
  </si>
  <si>
    <t>Tractocamión</t>
  </si>
  <si>
    <t>IdTipoInterseccion</t>
  </si>
  <si>
    <t>TI01</t>
  </si>
  <si>
    <t>Cruce en X</t>
  </si>
  <si>
    <t>TI02</t>
  </si>
  <si>
    <t>Cruce en T</t>
  </si>
  <si>
    <t>TI03</t>
  </si>
  <si>
    <t>Glorieta</t>
  </si>
  <si>
    <t>TI04</t>
  </si>
  <si>
    <t>Retorno</t>
  </si>
  <si>
    <t>TI05</t>
  </si>
  <si>
    <t>Paso a desnivel</t>
  </si>
  <si>
    <t>TI06</t>
  </si>
  <si>
    <t>Intercambiador vial</t>
  </si>
  <si>
    <t>IdLimite</t>
  </si>
  <si>
    <t>Límite (km/h)</t>
  </si>
  <si>
    <t>LV01</t>
  </si>
  <si>
    <t>LV02</t>
  </si>
  <si>
    <t>LV03</t>
  </si>
  <si>
    <t>LV04</t>
  </si>
  <si>
    <t>LV05</t>
  </si>
  <si>
    <t>LV06</t>
  </si>
  <si>
    <t>EstadoVia</t>
  </si>
  <si>
    <t>TipoVehiculoResponsable</t>
  </si>
  <si>
    <t>LímiteVelocidad</t>
  </si>
  <si>
    <t>TipoInterseccion</t>
  </si>
  <si>
    <t>FlujoDiarioAprox</t>
  </si>
  <si>
    <t>Salida de vía</t>
  </si>
  <si>
    <t>Norte de Santander</t>
  </si>
  <si>
    <t>Magdalena</t>
  </si>
  <si>
    <t>Santander</t>
  </si>
  <si>
    <t>Valle del Cauca</t>
  </si>
  <si>
    <t>Bolívar</t>
  </si>
  <si>
    <t>Atlántico</t>
  </si>
  <si>
    <t>Antioquia</t>
  </si>
  <si>
    <t>Cundinamarca</t>
  </si>
  <si>
    <t>Risaralda</t>
  </si>
  <si>
    <t>Meta</t>
  </si>
  <si>
    <t>La Guajira</t>
  </si>
  <si>
    <t>Caldas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</si>
</sst>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F400]h:mm:ss\ AM/PM"/>
    <numFmt numFmtId="165" formatCode="0.000"/>
    <numFmt numFmtId="166" formatCode="0.0"/>
    <numFmt numFmtId="167" formatCode="_-* #,##0_-;\-* #,##0_-;_-* &quot;-&quot;??_-;_-@_-"/>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9.5"/>
      <color rgb="FF000000"/>
      <name val="Avenir Next LT Pro"/>
      <family val="2"/>
    </font>
    <font>
      <sz val="9"/>
      <color rgb="FF000000"/>
      <name val="Avenir Next LT Pro"/>
      <family val="2"/>
    </font>
  </fonts>
  <fills count="4">
    <fill>
      <patternFill patternType="none"/>
    </fill>
    <fill>
      <patternFill patternType="gray125"/>
    </fill>
    <fill>
      <patternFill patternType="solid">
        <fgColor rgb="FFEDEDED"/>
        <bgColor indexed="64"/>
      </patternFill>
    </fill>
    <fill>
      <patternFill patternType="solid">
        <fgColor rgb="FFA5A5A5"/>
        <bgColor indexed="64"/>
      </patternFill>
    </fill>
  </fills>
  <borders count="6">
    <border>
      <left/>
      <right/>
      <top/>
      <bottom/>
      <diagonal/>
    </border>
    <border>
      <left style="medium">
        <color rgb="FFD9D9D9"/>
      </left>
      <right style="medium">
        <color rgb="FFD9D9D9"/>
      </right>
      <top/>
      <bottom style="medium">
        <color rgb="FFD9D9D9"/>
      </bottom>
      <diagonal/>
    </border>
    <border>
      <left style="medium">
        <color rgb="FFA6A6A6"/>
      </left>
      <right style="medium">
        <color rgb="FFA6A6A6"/>
      </right>
      <top style="medium">
        <color rgb="FFA6A6A6"/>
      </top>
      <bottom style="medium">
        <color rgb="FFA6A6A6"/>
      </bottom>
      <diagonal/>
    </border>
    <border>
      <left/>
      <right style="medium">
        <color rgb="FFA6A6A6"/>
      </right>
      <top style="medium">
        <color rgb="FFA6A6A6"/>
      </top>
      <bottom style="medium">
        <color rgb="FFA6A6A6"/>
      </bottom>
      <diagonal/>
    </border>
    <border>
      <left/>
      <right style="medium">
        <color rgb="FFA6A6A6"/>
      </right>
      <top/>
      <bottom/>
      <diagonal/>
    </border>
    <border>
      <left/>
      <right style="medium">
        <color rgb="FFD9D9D9"/>
      </right>
      <top/>
      <bottom style="medium">
        <color rgb="FFD9D9D9"/>
      </bottom>
      <diagonal/>
    </border>
  </borders>
  <cellStyleXfs count="2">
    <xf numFmtId="0" fontId="0" fillId="0" borderId="0"/>
    <xf numFmtId="43" fontId="1" fillId="0" borderId="0" applyFont="0" applyFill="0" applyBorder="0" applyAlignment="0" applyProtection="0"/>
  </cellStyleXfs>
  <cellXfs count="34">
    <xf numFmtId="0" fontId="0" fillId="0" borderId="0" xfId="0"/>
    <xf numFmtId="164" fontId="0" fillId="0" borderId="0" xfId="0" applyNumberFormat="1"/>
    <xf numFmtId="165" fontId="0" fillId="0" borderId="0" xfId="0" applyNumberFormat="1"/>
    <xf numFmtId="14" fontId="0" fillId="0" borderId="0" xfId="0" applyNumberFormat="1"/>
    <xf numFmtId="49" fontId="0" fillId="0" borderId="0" xfId="0" applyNumberFormat="1"/>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5" fillId="0" borderId="1" xfId="0" applyFont="1" applyBorder="1" applyAlignment="1">
      <alignment horizontal="center" vertical="center"/>
    </xf>
    <xf numFmtId="0" fontId="5" fillId="0" borderId="5" xfId="0" applyFont="1" applyBorder="1" applyAlignment="1">
      <alignment horizontal="center" vertical="center"/>
    </xf>
    <xf numFmtId="167" fontId="5" fillId="0" borderId="5" xfId="1" applyNumberFormat="1" applyFont="1" applyBorder="1" applyAlignment="1">
      <alignment horizontal="center" vertical="center"/>
    </xf>
    <xf numFmtId="166" fontId="5" fillId="0" borderId="5" xfId="0" applyNumberFormat="1" applyFont="1" applyBorder="1" applyAlignment="1">
      <alignment horizontal="center" vertical="center"/>
    </xf>
    <xf numFmtId="0" fontId="5" fillId="2" borderId="1" xfId="0" applyFont="1" applyFill="1" applyBorder="1" applyAlignment="1">
      <alignment horizontal="center" vertical="center"/>
    </xf>
    <xf numFmtId="0" fontId="5" fillId="2" borderId="5" xfId="0" applyFont="1" applyFill="1" applyBorder="1" applyAlignment="1">
      <alignment horizontal="center" vertical="center"/>
    </xf>
    <xf numFmtId="167" fontId="5" fillId="2" borderId="5" xfId="1" applyNumberFormat="1" applyFont="1" applyFill="1" applyBorder="1" applyAlignment="1">
      <alignment horizontal="center" vertical="center"/>
    </xf>
    <xf numFmtId="166" fontId="5" fillId="2" borderId="5" xfId="0" applyNumberFormat="1" applyFont="1" applyFill="1" applyBorder="1" applyAlignment="1">
      <alignment horizontal="center" vertical="center"/>
    </xf>
    <xf numFmtId="14" fontId="4" fillId="3" borderId="3" xfId="0" applyNumberFormat="1" applyFont="1" applyFill="1" applyBorder="1" applyAlignment="1">
      <alignment horizontal="center" vertical="center"/>
    </xf>
    <xf numFmtId="14" fontId="5" fillId="2" borderId="5" xfId="0" applyNumberFormat="1" applyFont="1" applyFill="1" applyBorder="1" applyAlignment="1">
      <alignment horizontal="center" vertical="center"/>
    </xf>
    <xf numFmtId="14" fontId="5" fillId="0" borderId="5" xfId="0" applyNumberFormat="1" applyFont="1" applyBorder="1" applyAlignment="1">
      <alignment horizontal="center" vertical="center"/>
    </xf>
    <xf numFmtId="164" fontId="4" fillId="3" borderId="3" xfId="0" applyNumberFormat="1" applyFont="1" applyFill="1" applyBorder="1" applyAlignment="1">
      <alignment horizontal="center" vertical="center"/>
    </xf>
    <xf numFmtId="164" fontId="5" fillId="2" borderId="5" xfId="1" applyNumberFormat="1" applyFont="1" applyFill="1" applyBorder="1" applyAlignment="1">
      <alignment horizontal="center" vertical="center"/>
    </xf>
    <xf numFmtId="164" fontId="5" fillId="0" borderId="5" xfId="1" applyNumberFormat="1" applyFont="1" applyBorder="1" applyAlignment="1">
      <alignment horizontal="center" vertical="center"/>
    </xf>
    <xf numFmtId="0" fontId="4" fillId="3" borderId="2" xfId="0" applyFont="1" applyFill="1" applyBorder="1" applyAlignment="1">
      <alignment horizontal="left" vertical="center"/>
    </xf>
    <xf numFmtId="0" fontId="5" fillId="2" borderId="1" xfId="0" applyFont="1" applyFill="1" applyBorder="1" applyAlignment="1">
      <alignment horizontal="left" vertical="center"/>
    </xf>
    <xf numFmtId="0" fontId="5" fillId="0" borderId="1" xfId="0" applyFont="1" applyBorder="1" applyAlignment="1">
      <alignment horizontal="left" vertical="center"/>
    </xf>
    <xf numFmtId="1" fontId="5" fillId="2" borderId="5" xfId="0" applyNumberFormat="1" applyFont="1" applyFill="1" applyBorder="1" applyAlignment="1">
      <alignment horizontal="center" vertical="center"/>
    </xf>
    <xf numFmtId="1" fontId="5" fillId="0" borderId="5" xfId="0" applyNumberFormat="1" applyFont="1" applyBorder="1" applyAlignment="1">
      <alignment horizontal="center" vertical="center"/>
    </xf>
    <xf numFmtId="0" fontId="2" fillId="0" borderId="0" xfId="0" applyFont="1" applyAlignment="1">
      <alignment horizontal="center" vertical="center" wrapText="1"/>
    </xf>
    <xf numFmtId="0" fontId="0" fillId="0" borderId="0" xfId="0" applyAlignment="1">
      <alignment vertical="center" wrapText="1"/>
    </xf>
    <xf numFmtId="0" fontId="4" fillId="3" borderId="3" xfId="0" applyFont="1" applyFill="1" applyBorder="1" applyAlignment="1">
      <alignment horizontal="left" vertical="center"/>
    </xf>
    <xf numFmtId="1" fontId="5" fillId="2" borderId="5" xfId="1" applyNumberFormat="1" applyFont="1" applyFill="1" applyBorder="1" applyAlignment="1">
      <alignment horizontal="center" vertical="center"/>
    </xf>
    <xf numFmtId="1" fontId="5" fillId="0" borderId="5" xfId="1" applyNumberFormat="1" applyFont="1" applyBorder="1" applyAlignment="1">
      <alignment horizontal="center" vertical="center"/>
    </xf>
    <xf numFmtId="167" fontId="0" fillId="0" borderId="0" xfId="1" applyNumberFormat="1" applyFont="1"/>
    <xf numFmtId="167" fontId="4" fillId="3" borderId="3" xfId="1" applyNumberFormat="1" applyFont="1" applyFill="1" applyBorder="1" applyAlignment="1">
      <alignment horizontal="center" vertical="center"/>
    </xf>
  </cellXfs>
  <cellStyles count="2">
    <cellStyle name="Millares" xfId="1" builtinId="3"/>
    <cellStyle name="Normal" xfId="0" builtinId="0"/>
  </cellStyles>
  <dxfs count="1">
    <dxf>
      <numFmt numFmtId="30" formatCode="@"/>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17/06/relationships/richStyles" Target="richData/rich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20/07/relationships/rdRichValueWebImage" Target="richData/rdRichValueWebImage.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Array" Target="richData/rdarray.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sharedStrings" Target="sharedStrings.xml"/><Relationship Id="rId23" Type="http://schemas.microsoft.com/office/2017/06/relationships/rdSupportingPropertyBag" Target="richData/rdsupportingpropertybag.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microsoft.com/office/2017/06/relationships/rdSupportingPropertyBagStructure" Target="richData/rdsupportingpropertybagstructure.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Valle%20del%20Cauca" TargetMode="External"/><Relationship Id="rId13" Type="http://schemas.openxmlformats.org/officeDocument/2006/relationships/hyperlink" Target="https://www.bing.com/th?id=OSK.mBd3eeSBkK580Qjdz0Wp97BRLVhTsr-bu055Up99k0o&amp;qlt=95" TargetMode="External"/><Relationship Id="rId18" Type="http://schemas.openxmlformats.org/officeDocument/2006/relationships/hyperlink" Target="https://www.bing.com/images/search?form=xlimg&amp;q=Risaralda" TargetMode="External"/><Relationship Id="rId3" Type="http://schemas.openxmlformats.org/officeDocument/2006/relationships/hyperlink" Target="https://www.bing.com/th?id=OSK.XkoD5wdFjezkhsxhM4bhVHLphvfy0jiBFT9brd2tCk8&amp;qlt=95" TargetMode="External"/><Relationship Id="rId21" Type="http://schemas.openxmlformats.org/officeDocument/2006/relationships/hyperlink" Target="https://www.bing.com/th?id=OSK.x6N_mO3fLr9h5wJ0k_VnVcwqDM26Gi1C2Ef-7Ok_Gxw&amp;qlt=95" TargetMode="External"/><Relationship Id="rId7" Type="http://schemas.openxmlformats.org/officeDocument/2006/relationships/hyperlink" Target="https://www.bing.com/th?id=OSK.9813d2171825340f86f790c264ecb217&amp;qlt=95" TargetMode="External"/><Relationship Id="rId12" Type="http://schemas.openxmlformats.org/officeDocument/2006/relationships/hyperlink" Target="https://www.bing.com/images/search?form=xlimg&amp;q=Atl%c3%a1ntico%20(Colombia)" TargetMode="External"/><Relationship Id="rId17" Type="http://schemas.openxmlformats.org/officeDocument/2006/relationships/hyperlink" Target="https://www.bing.com/th?id=OSK.4665f65b5112d1f1734947d3ff88cc77&amp;qlt=95" TargetMode="External"/><Relationship Id="rId2" Type="http://schemas.openxmlformats.org/officeDocument/2006/relationships/hyperlink" Target="https://www.bing.com/images/search?form=xlimg&amp;q=Norte%20de%20Santander" TargetMode="External"/><Relationship Id="rId16" Type="http://schemas.openxmlformats.org/officeDocument/2006/relationships/hyperlink" Target="https://www.bing.com/images/search?form=xlimg&amp;q=Cundinamarca" TargetMode="External"/><Relationship Id="rId20" Type="http://schemas.openxmlformats.org/officeDocument/2006/relationships/hyperlink" Target="https://www.bing.com/images/search?form=xlimg&amp;q=Meta%20(Colombia)" TargetMode="External"/><Relationship Id="rId1" Type="http://schemas.openxmlformats.org/officeDocument/2006/relationships/hyperlink" Target="https://www.bing.com/th?id=OSK.51a6ad6beb4987120e37933ffb988180&amp;qlt=95" TargetMode="External"/><Relationship Id="rId6" Type="http://schemas.openxmlformats.org/officeDocument/2006/relationships/hyperlink" Target="https://www.bing.com/images/search?form=xlimg&amp;q=Santander%20(Colombia)" TargetMode="External"/><Relationship Id="rId11" Type="http://schemas.openxmlformats.org/officeDocument/2006/relationships/hyperlink" Target="https://www.bing.com/th?id=OSK.4e4b35b089f78f11239661218ddfdafe&amp;qlt=95" TargetMode="External"/><Relationship Id="rId24" Type="http://schemas.openxmlformats.org/officeDocument/2006/relationships/hyperlink" Target="https://www.bing.com/images/search?form=xlimg&amp;q=Caldas" TargetMode="External"/><Relationship Id="rId5" Type="http://schemas.openxmlformats.org/officeDocument/2006/relationships/hyperlink" Target="https://www.bing.com/th?id=OSK.4cd6a36adf7e486cd82954cdd6ac624d&amp;qlt=95" TargetMode="External"/><Relationship Id="rId15" Type="http://schemas.openxmlformats.org/officeDocument/2006/relationships/hyperlink" Target="https://www.bing.com/th?id=OSK.7e397e3fb4c9d33d08edcc13c71b91dd&amp;qlt=95" TargetMode="External"/><Relationship Id="rId23" Type="http://schemas.openxmlformats.org/officeDocument/2006/relationships/hyperlink" Target="https://www.bing.com/th?id=OSK.8e457b3f54c1bc4523f3e904e8a45a57&amp;qlt=95" TargetMode="External"/><Relationship Id="rId10" Type="http://schemas.openxmlformats.org/officeDocument/2006/relationships/hyperlink" Target="https://www.bing.com/images/search?form=xlimg&amp;q=Bol%c3%advar%20(Colombia)" TargetMode="External"/><Relationship Id="rId19" Type="http://schemas.openxmlformats.org/officeDocument/2006/relationships/hyperlink" Target="https://www.bing.com/th?id=OSK.68b8a5d41cf3cfbd13da306788aac26a&amp;qlt=95" TargetMode="External"/><Relationship Id="rId4" Type="http://schemas.openxmlformats.org/officeDocument/2006/relationships/hyperlink" Target="https://www.bing.com/images/search?form=xlimg&amp;q=Magdalena%20(Colombia)" TargetMode="External"/><Relationship Id="rId9" Type="http://schemas.openxmlformats.org/officeDocument/2006/relationships/hyperlink" Target="https://www.bing.com/th?id=OSK.493ccbe2a4cc9783c66761095e242d34&amp;qlt=95" TargetMode="External"/><Relationship Id="rId14" Type="http://schemas.openxmlformats.org/officeDocument/2006/relationships/hyperlink" Target="https://www.bing.com/images/search?form=xlimg&amp;q=Antioquia" TargetMode="External"/><Relationship Id="rId22" Type="http://schemas.openxmlformats.org/officeDocument/2006/relationships/hyperlink" Target="https://www.bing.com/images/search?form=xlimg&amp;q=La%20Guajira"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Srd>
</file>

<file path=xl/richData/rdarray.xml><?xml version="1.0" encoding="utf-8"?>
<arrayData xmlns="http://schemas.microsoft.com/office/spreadsheetml/2017/richdata2" count="14">
  <a r="2">
    <v t="r">5</v>
    <v t="r">6</v>
  </a>
  <a r="1">
    <v t="s">UTC-05:00</v>
  </a>
  <a r="2">
    <v t="r">18</v>
    <v t="r">19</v>
  </a>
  <a r="2">
    <v t="r">30</v>
    <v t="r">31</v>
  </a>
  <a r="2">
    <v t="r">41</v>
    <v t="r">42</v>
  </a>
  <a r="2">
    <v t="r">53</v>
    <v t="r">54</v>
  </a>
  <a r="2">
    <v t="r">64</v>
    <v t="r">65</v>
  </a>
  <a r="1">
    <v t="s">Idioma español</v>
  </a>
  <a r="2">
    <v t="r">76</v>
    <v t="r">77</v>
  </a>
  <a r="2">
    <v t="r">88</v>
    <v t="r">89</v>
  </a>
  <a r="2">
    <v t="r">99</v>
    <v t="r">100</v>
  </a>
  <a r="1">
    <v t="r">110</v>
  </a>
  <a r="2">
    <v t="r">121</v>
    <v t="r">122</v>
  </a>
  <a r="2">
    <v t="r">132</v>
    <v t="r">133</v>
  </a>
</arrayData>
</file>

<file path=xl/richData/rdrichvalue.xml><?xml version="1.0" encoding="utf-8"?>
<rvData xmlns="http://schemas.microsoft.com/office/spreadsheetml/2017/richdata" count="138">
  <rv s="0">
    <v>536870912</v>
    <v>Norte de Santander</v>
    <v>d44c8def-e6be-c3f1-ab4e-e27af99a2e0b</v>
    <v>es-ES</v>
    <v>Map</v>
  </rv>
  <rv s="1">
    <fb>21658</fb>
    <v>10</v>
  </rv>
  <rv s="0">
    <v>536870912</v>
    <v>Cúcuta</v>
    <v>5a90774d-aeea-6f03-17a8-2126ffdffef3</v>
    <v>es-CO</v>
    <v>Map</v>
  </rv>
  <rv s="2">
    <v>0</v>
    <v>8</v>
    <v>0</v>
    <v>7</v>
    <v>0</v>
    <v>Image of Norte de Santander</v>
  </rv>
  <rv s="3">
    <v>https://www.bing.com/search?q=Norte+de+Santander&amp;form=skydnc</v>
    <v>Aprenda más con Bing</v>
  </rv>
  <rv s="0">
    <v>805306368</v>
    <v>William Villamizar Laguado (Governor)</v>
    <v>3be5592a-a4f5-ca28-1911-35ef259d9d30</v>
    <v>es-CO</v>
    <v>Generic</v>
  </rv>
  <rv s="0">
    <v>805306368</v>
    <v>William Villamizar Laguado (Gobernador)</v>
    <v>3be5592a-a4f5-ca28-1911-35ef259d9d30</v>
    <v>es-CO</v>
    <v>Generic</v>
  </rv>
  <rv s="4">
    <v>0</v>
  </rv>
  <rv s="0">
    <v>536870912</v>
    <v>Colombia</v>
    <v>cc8833ef-5956-cbbc-742f-b8af762f1bfd</v>
    <v>es-CO</v>
    <v>Map</v>
  </rv>
  <rv s="1">
    <fb>1658835</fb>
    <v>10</v>
  </rv>
  <rv s="1">
    <fb>295605</fb>
    <v>10</v>
  </rv>
  <rv s="4">
    <v>1</v>
  </rv>
  <rv s="5">
    <v>#VALUE!</v>
    <v>es-ES</v>
    <v>d44c8def-e6be-c3f1-ab4e-e27af99a2e0b</v>
    <v>536870912</v>
    <v>1</v>
    <v>2</v>
    <v>3</v>
    <v>4</v>
    <v>Norte de Santander</v>
    <v>6</v>
    <v>7</v>
    <v>Map</v>
    <v>8</v>
    <v>9</v>
    <v>CO-NSA</v>
    <v>1</v>
    <v>2</v>
    <v>2</v>
    <v>Norte de Santander es uno de los treinta y dos departamentos de la República de Colombia, con capital en Cúcuta. Es una entidad territorial que goza de autonomía para la administración de los asuntos seccionales y la planificación y promoción ...</v>
    <v>3</v>
    <v>4</v>
    <v>7</v>
    <v>Norte de Santander</v>
    <v>8</v>
    <v>9</v>
    <v>10</v>
    <v>Norte de Santander</v>
    <v>mdp/vdpid/9406503</v>
    <v>11</v>
  </rv>
  <rv s="0">
    <v>536870912</v>
    <v>Magdalena</v>
    <v>dcdd93f1-b99c-7653-25fe-53654ad52fa2</v>
    <v>es-ES</v>
    <v>Map</v>
  </rv>
  <rv s="1">
    <fb>23188</fb>
    <v>10</v>
  </rv>
  <rv s="0">
    <v>536870912</v>
    <v>Santa Marta</v>
    <v>d09d4730-feb7-30ca-9a61-7c9689075b16</v>
    <v>es-ES</v>
    <v>Map</v>
  </rv>
  <rv s="2">
    <v>1</v>
    <v>8</v>
    <v>11</v>
    <v>7</v>
    <v>0</v>
    <v>Image of Magdalena</v>
  </rv>
  <rv s="3">
    <v>https://www.bing.com/search?q=Magdalena+Colombia&amp;form=skydnc</v>
    <v>Aprenda más con Bing</v>
  </rv>
  <rv s="0">
    <v>805306368</v>
    <v>Carlos Caceido (Governor)</v>
    <v>f5ce7d26-be60-49ae-fa9a-38ab6cc06efc</v>
    <v>es-ES</v>
    <v>Generic</v>
  </rv>
  <rv s="0">
    <v>805306368</v>
    <v>Carlos Caceido (Gobernador)</v>
    <v>f5ce7d26-be60-49ae-fa9a-38ab6cc06efc</v>
    <v>es-ES</v>
    <v>Generic</v>
  </rv>
  <rv s="4">
    <v>2</v>
  </rv>
  <rv s="0">
    <v>536870912</v>
    <v>Colombia</v>
    <v>c396e3d8-2a85-d230-f691-7850536d840e</v>
    <v>es-ES</v>
    <v>Map</v>
  </rv>
  <rv s="1">
    <fb>1341746</fb>
    <v>10</v>
  </rv>
  <rv s="1">
    <fb>244942</fb>
    <v>10</v>
  </rv>
  <rv s="5">
    <v>#VALUE!</v>
    <v>es-ES</v>
    <v>dcdd93f1-b99c-7653-25fe-53654ad52fa2</v>
    <v>536870912</v>
    <v>1</v>
    <v>13</v>
    <v>3</v>
    <v>4</v>
    <v>Magdalena</v>
    <v>6</v>
    <v>7</v>
    <v>Map</v>
    <v>8</v>
    <v>14</v>
    <v>CO-MAG</v>
    <v>14</v>
    <v>15</v>
    <v>15</v>
    <v>Magdalena es uno de los treinta y dos departamentos que forman la República de Colombia. Su capital es Santa Marta. Está ubicado al noreste del país, en la región Caribe. Fue uno de los originales nueve estados que conformaron los Estados Unidos ...</v>
    <v>16</v>
    <v>17</v>
    <v>20</v>
    <v>Magdalena</v>
    <v>21</v>
    <v>22</v>
    <v>23</v>
    <v>Magdalena</v>
    <v>mdp/vdpid/9408415</v>
    <v>11</v>
  </rv>
  <rv s="0">
    <v>536870912</v>
    <v>Santander</v>
    <v>98fbfaa3-063d-4261-a806-2b84a0339e05</v>
    <v>es-ES</v>
    <v>Map</v>
  </rv>
  <rv s="1">
    <fb>30537</fb>
    <v>10</v>
  </rv>
  <rv s="0">
    <v>536870912</v>
    <v>Bucaramanga</v>
    <v>b2b7d5d4-6e24-8927-87fe-0c327b2b2c86</v>
    <v>es-ES</v>
    <v>Map</v>
  </rv>
  <rv s="2">
    <v>2</v>
    <v>8</v>
    <v>15</v>
    <v>7</v>
    <v>0</v>
    <v>Image of Santander</v>
  </rv>
  <rv s="3">
    <v>https://www.bing.com/search?q=Santander+Colombia&amp;form=skydnc</v>
    <v>Aprenda más con Bing</v>
  </rv>
  <rv s="0">
    <v>805306368</v>
    <v>Juvenal Díaz Mateus (Governor)</v>
    <v>ef2e11b8-f0aa-b2a8-a53a-54106a0f2d26</v>
    <v>es-ES</v>
    <v>Generic</v>
  </rv>
  <rv s="0">
    <v>805306368</v>
    <v>Juvenal Díaz Mateus (Gobernador)</v>
    <v>ef2e11b8-f0aa-b2a8-a53a-54106a0f2d26</v>
    <v>es-ES</v>
    <v>Generic</v>
  </rv>
  <rv s="4">
    <v>3</v>
  </rv>
  <rv s="1">
    <fb>2184837</fb>
    <v>10</v>
  </rv>
  <rv s="1">
    <fb>495179</fb>
    <v>10</v>
  </rv>
  <rv s="5">
    <v>#VALUE!</v>
    <v>es-ES</v>
    <v>98fbfaa3-063d-4261-a806-2b84a0339e05</v>
    <v>536870912</v>
    <v>1</v>
    <v>17</v>
    <v>3</v>
    <v>4</v>
    <v>Santander</v>
    <v>6</v>
    <v>7</v>
    <v>Map</v>
    <v>8</v>
    <v>14</v>
    <v>CO-SAN</v>
    <v>26</v>
    <v>27</v>
    <v>27</v>
    <v>Santander es uno de los treinta y dos departamentos de la República de Colombia, con capital en Bucaramanga. Está ubicado al noreste del país, en la región andina. Con unos 2 280 908 habitantes en 2018 es el sexto departamento por población. ...</v>
    <v>28</v>
    <v>29</v>
    <v>32</v>
    <v>Santander</v>
    <v>21</v>
    <v>33</v>
    <v>34</v>
    <v>Santander</v>
    <v>mdp/vdpid/10106936</v>
    <v>11</v>
  </rv>
  <rv s="0">
    <v>536870912</v>
    <v>Valle del Cauca</v>
    <v>ce6e3742-88ee-970c-b7e9-de685afbebe8</v>
    <v>es-ES</v>
    <v>Map</v>
  </rv>
  <rv s="1">
    <fb>22140</fb>
    <v>10</v>
  </rv>
  <rv s="0">
    <v>536870912</v>
    <v>Cali</v>
    <v>42b755d2-073a-e717-a09f-2c2eca96b851</v>
    <v>es-ES</v>
    <v>Map</v>
  </rv>
  <rv s="2">
    <v>3</v>
    <v>8</v>
    <v>18</v>
    <v>7</v>
    <v>0</v>
    <v>Image of Valle del Cauca</v>
  </rv>
  <rv s="3">
    <v>https://www.bing.com/search?q=Valle+del+Cauca&amp;form=skydnc</v>
    <v>Aprenda más con Bing</v>
  </rv>
  <rv s="0">
    <v>805306368</v>
    <v>Clara Luz Roldán (Governor)</v>
    <v>26671826-82ea-fde1-f07d-b2c8ce0b4e33</v>
    <v>es-ES</v>
    <v>Generic</v>
  </rv>
  <rv s="0">
    <v>805306368</v>
    <v>Clara Luz Roldán (Gobernador)</v>
    <v>26671826-82ea-fde1-f07d-b2c8ce0b4e33</v>
    <v>es-ES</v>
    <v>Generic</v>
  </rv>
  <rv s="4">
    <v>4</v>
  </rv>
  <rv s="0">
    <v>536870912</v>
    <v>Colombia</v>
    <v>cc8833ef-5956-cbbc-742f-b8af762f1bfd</v>
    <v>es-ES</v>
    <v>Map</v>
  </rv>
  <rv s="1">
    <fb>4475886</fb>
    <v>10</v>
  </rv>
  <rv s="1">
    <fb>1030633</fb>
    <v>10</v>
  </rv>
  <rv s="5">
    <v>#VALUE!</v>
    <v>es-ES</v>
    <v>ce6e3742-88ee-970c-b7e9-de685afbebe8</v>
    <v>536870912</v>
    <v>1</v>
    <v>20</v>
    <v>3</v>
    <v>4</v>
    <v>Valle del Cauca</v>
    <v>6</v>
    <v>7</v>
    <v>Map</v>
    <v>8</v>
    <v>14</v>
    <v>CO-VAC</v>
    <v>37</v>
    <v>38</v>
    <v>38</v>
    <v>Valle del Cauca es uno de los treinta y dos departamentos que forman la República de Colombia. Su capital es Cali. Está ubicado en las regiones Andina y del Pacífico. Con 4 923 456 habitantes en 2023, es el segundo departamento más poblado, tras ...</v>
    <v>39</v>
    <v>40</v>
    <v>43</v>
    <v>Valle del Cauca</v>
    <v>44</v>
    <v>45</v>
    <v>46</v>
    <v>Valle del Cauca</v>
    <v>mdp/vdpid/34749</v>
    <v>11</v>
  </rv>
  <rv s="0">
    <v>536870912</v>
    <v>Bolívar</v>
    <v>38fa99f2-3e47-af72-2f25-81f620fe1128</v>
    <v>es-ES</v>
    <v>Map</v>
  </rv>
  <rv s="1">
    <fb>25978</fb>
    <v>10</v>
  </rv>
  <rv s="0">
    <v>536870912</v>
    <v>Cartagena de Indias</v>
    <v>722cd66d-65f4-7a40-33a0-17719bf6238a</v>
    <v>es-ES</v>
    <v>Map</v>
  </rv>
  <rv s="2">
    <v>4</v>
    <v>8</v>
    <v>21</v>
    <v>7</v>
    <v>0</v>
    <v>Image of Bolívar</v>
  </rv>
  <rv s="3">
    <v>https://www.bing.com/search?q=Bol%c3%advar+Colombia&amp;form=skydnc</v>
    <v>Aprenda más con Bing</v>
  </rv>
  <rv s="0">
    <v>805306368</v>
    <v>Vicente blel (Governor)</v>
    <v>3c3279f7-6f56-d14b-fe8b-44ecfbdc04fe</v>
    <v>es-ES</v>
    <v>Generic</v>
  </rv>
  <rv s="0">
    <v>805306368</v>
    <v>Vicente blel (Gobernador)</v>
    <v>3c3279f7-6f56-d14b-fe8b-44ecfbdc04fe</v>
    <v>es-ES</v>
    <v>Generic</v>
  </rv>
  <rv s="4">
    <v>5</v>
  </rv>
  <rv s="1">
    <fb>2070110</fb>
    <v>10</v>
  </rv>
  <rv s="1">
    <fb>391055</fb>
    <v>10</v>
  </rv>
  <rv s="5">
    <v>#VALUE!</v>
    <v>es-ES</v>
    <v>38fa99f2-3e47-af72-2f25-81f620fe1128</v>
    <v>536870912</v>
    <v>1</v>
    <v>23</v>
    <v>3</v>
    <v>4</v>
    <v>Bolívar</v>
    <v>6</v>
    <v>7</v>
    <v>Map</v>
    <v>8</v>
    <v>14</v>
    <v>CO-BOL</v>
    <v>49</v>
    <v>50</v>
    <v>50</v>
    <v>Bolívar es uno de los treinta y dos departamentos que forman la República de Colombia. Está ubicado en la región Caribe, limitando al norte con el mar Caribe. Con unos 2 180 976 habitantes en 2018, es el séptimo departamento más poblado. Su ...</v>
    <v>51</v>
    <v>52</v>
    <v>55</v>
    <v>Bolívar</v>
    <v>21</v>
    <v>56</v>
    <v>57</v>
    <v>Bolívar</v>
    <v>mdp/vdpid/9421486</v>
    <v>11</v>
  </rv>
  <rv s="0">
    <v>536870912</v>
    <v>Atlántico</v>
    <v>060406d2-f65b-ee44-bba7-291bad263612</v>
    <v>es-ES</v>
    <v>Map</v>
  </rv>
  <rv s="1">
    <fb>3388</fb>
    <v>10</v>
  </rv>
  <rv s="0">
    <v>536870912</v>
    <v>Barranquilla</v>
    <v>42cd2e95-8c26-b0ae-3c59-2f0254dc0b33</v>
    <v>es-ES</v>
    <v>Map</v>
  </rv>
  <rv s="2">
    <v>5</v>
    <v>8</v>
    <v>24</v>
    <v>7</v>
    <v>0</v>
    <v>Image of Atlántico</v>
  </rv>
  <rv s="3">
    <v>https://www.bing.com/search?q=Atl%c3%a1ntico+Colombia&amp;form=skydnc</v>
    <v>Aprenda más con Bing</v>
  </rv>
  <rv s="0">
    <v>805306368</v>
    <v>Eduardo Verano de la Rosa (Governor)</v>
    <v>a345d581-4dae-2db5-ec39-0024d2f7f733</v>
    <v>es-ES</v>
    <v>Generic</v>
  </rv>
  <rv s="0">
    <v>805306368</v>
    <v>Eduardo Verano de la Rosa (Gobernador)</v>
    <v>a345d581-4dae-2db5-ec39-0024d2f7f733</v>
    <v>es-ES</v>
    <v>Generic</v>
  </rv>
  <rv s="4">
    <v>6</v>
  </rv>
  <rv s="1">
    <fb>2535517</fb>
    <v>10</v>
  </rv>
  <rv s="1">
    <fb>436926</fb>
    <v>10</v>
  </rv>
  <rv s="5">
    <v>#VALUE!</v>
    <v>es-ES</v>
    <v>060406d2-f65b-ee44-bba7-291bad263612</v>
    <v>536870912</v>
    <v>1</v>
    <v>26</v>
    <v>3</v>
    <v>4</v>
    <v>Atlántico</v>
    <v>6</v>
    <v>7</v>
    <v>Map</v>
    <v>8</v>
    <v>14</v>
    <v>CO-ATL</v>
    <v>60</v>
    <v>61</v>
    <v>61</v>
    <v>El Atlántico es uno de los treinta y dos departamentos que forman la República de Colombia. Su capital es Barranquilla. Se encuentra ubicado en la región Caribe. Con unos 2 835 509 habitantes, es el cuarto departamento más poblado ; con 3019 km² ...</v>
    <v>62</v>
    <v>63</v>
    <v>66</v>
    <v>Atlántico</v>
    <v>21</v>
    <v>67</v>
    <v>68</v>
    <v>Atlántico</v>
    <v>mdp/vdpid/9422286</v>
    <v>11</v>
  </rv>
  <rv s="0">
    <v>536870912</v>
    <v>Antioquia</v>
    <v>d3614470-a93c-5d64-a636-9da2dff33c3d</v>
    <v>es-ES</v>
    <v>Map</v>
  </rv>
  <rv s="1">
    <fb>63612</fb>
    <v>10</v>
  </rv>
  <rv s="0">
    <v>536870912</v>
    <v>Medellín</v>
    <v>7b1377e4-8d6a-bcd0-6cb4-7b7c0a8f94b5</v>
    <v>es-CO</v>
    <v>Map</v>
  </rv>
  <rv s="4">
    <v>7</v>
  </rv>
  <rv s="2">
    <v>6</v>
    <v>8</v>
    <v>27</v>
    <v>7</v>
    <v>0</v>
    <v>Image of Antioquia</v>
  </rv>
  <rv s="3">
    <v>https://www.bing.com/search?q=Antioquia+Department&amp;form=skydnc</v>
    <v>Aprenda más con Bing</v>
  </rv>
  <rv s="0">
    <v>805306368</v>
    <v>Andrés Julián Rendón (Governor)</v>
    <v>50e19c26-8e4a-2ec5-3c73-a5bc140c2bfe</v>
    <v>es-CO</v>
    <v>Generic</v>
  </rv>
  <rv s="0">
    <v>805306368</v>
    <v>Andrés Julián Rendón (Gobernador)</v>
    <v>50e19c26-8e4a-2ec5-3c73-a5bc140c2bfe</v>
    <v>es-CO</v>
    <v>Generic</v>
  </rv>
  <rv s="4">
    <v>8</v>
  </rv>
  <rv s="0">
    <v>536870912</v>
    <v>Colombia</v>
    <v>c396e3d8-2a85-d230-f691-7850536d840e</v>
    <v>es-CO</v>
    <v>Map</v>
  </rv>
  <rv s="1">
    <fb>6994792</fb>
    <v>10</v>
  </rv>
  <rv s="1">
    <fb>1505161</fb>
    <v>10</v>
  </rv>
  <rv s="6">
    <v>#VALUE!</v>
    <v>es-ES</v>
    <v>d3614470-a93c-5d64-a636-9da2dff33c3d</v>
    <v>536870912</v>
    <v>1</v>
    <v>29</v>
    <v>3</v>
    <v>30</v>
    <v>Antioquia</v>
    <v>6</v>
    <v>7</v>
    <v>Map</v>
    <v>8</v>
    <v>9</v>
    <v>CO-ANT</v>
    <v>71</v>
    <v>72</v>
    <v>72</v>
    <v>Antioquia es uno de los treinta y dos departamentos que forman la República de Colombia. Su capital es Medellín, la segunda ciudad más poblada del país. Está ubicado al noroccidente colombiano, en las regiones Andina y Caribe. Con unos 6 994 792 ...</v>
    <v>73</v>
    <v>74</v>
    <v>75</v>
    <v>78</v>
    <v>Antioquia</v>
    <v>79</v>
    <v>80</v>
    <v>81</v>
    <v>Antioquia</v>
    <v>mdp/vdpid/10106933</v>
    <v>11</v>
  </rv>
  <rv s="0">
    <v>536870912</v>
    <v>Cundinamarca</v>
    <v>26fc374f-923b-d32c-4651-e3e8c06fc3ed</v>
    <v>es-ES</v>
    <v>Map</v>
  </rv>
  <rv s="1">
    <fb>22623</fb>
    <v>10</v>
  </rv>
  <rv s="0">
    <v>536870912</v>
    <v>Bogotá</v>
    <v>66b24d5c-468c-2dd6-e6ce-34504b6f6cb4</v>
    <v>es-CO</v>
    <v>Map</v>
  </rv>
  <rv s="2">
    <v>7</v>
    <v>8</v>
    <v>31</v>
    <v>7</v>
    <v>0</v>
    <v>Image of Cundinamarca</v>
  </rv>
  <rv s="3">
    <v>https://www.bing.com/search?q=Cundinamarca&amp;form=skydnc</v>
    <v>Aprenda más con Bing</v>
  </rv>
  <rv s="0">
    <v>805306368</v>
    <v>Jorge Emilio Rey Ángel (Governor)</v>
    <v>86ab77c0-1d93-d82e-3d65-97e4c21a3b33</v>
    <v>es-CO</v>
    <v>Generic</v>
  </rv>
  <rv s="0">
    <v>805306368</v>
    <v>Jorge Emilio Rey Ángel (Gobernador)</v>
    <v>86ab77c0-1d93-d82e-3d65-97e4c21a3b33</v>
    <v>es-CO</v>
    <v>Generic</v>
  </rv>
  <rv s="4">
    <v>9</v>
  </rv>
  <rv s="1">
    <fb>3445300</fb>
    <v>10</v>
  </rv>
  <rv s="1">
    <fb>596082</fb>
    <v>10</v>
  </rv>
  <rv s="5">
    <v>#VALUE!</v>
    <v>es-ES</v>
    <v>26fc374f-923b-d32c-4651-e3e8c06fc3ed</v>
    <v>536870912</v>
    <v>1</v>
    <v>33</v>
    <v>3</v>
    <v>4</v>
    <v>Cundinamarca</v>
    <v>6</v>
    <v>7</v>
    <v>Map</v>
    <v>8</v>
    <v>9</v>
    <v>CO-CUN</v>
    <v>84</v>
    <v>85</v>
    <v>85</v>
    <v>Cundinamarca es uno de los 32 departamentos de la República de Colombia, ubicado en el centro del país dentro de la región andina. Con una población estimada de 3 577 177 habitantes para 2023, se posiciona como el tercer departamento más poblado ...</v>
    <v>86</v>
    <v>87</v>
    <v>90</v>
    <v>Cundinamarca</v>
    <v>79</v>
    <v>91</v>
    <v>92</v>
    <v>Cundinamarca</v>
    <v>mdp/vdpid/10106925</v>
    <v>11</v>
  </rv>
  <rv s="0">
    <v>536870912</v>
    <v>Risaralda</v>
    <v>12859881-10e7-a44f-aa52-ed6ecbc80e7c</v>
    <v>es-ES</v>
    <v>Map</v>
  </rv>
  <rv s="1">
    <fb>3600</fb>
    <v>10</v>
  </rv>
  <rv s="0">
    <v>536870912</v>
    <v>Pereira</v>
    <v>d348f442-8e77-a0fc-3525-8c1a05184766</v>
    <v>es-ES</v>
    <v>Map</v>
  </rv>
  <rv s="2">
    <v>8</v>
    <v>8</v>
    <v>34</v>
    <v>7</v>
    <v>0</v>
    <v>Image of Risaralda</v>
  </rv>
  <rv s="3">
    <v>https://www.bing.com/search?q=Risaralda&amp;form=skydnc</v>
    <v>Aprenda más con Bing</v>
  </rv>
  <rv s="0">
    <v>805306368</v>
    <v>Juan Diego Patiño Ochoa (Governor)</v>
    <v>cb5f4001-97ad-dce3-7fca-512daa7f1e5e</v>
    <v>es-ES</v>
    <v>Generic</v>
  </rv>
  <rv s="0">
    <v>805306368</v>
    <v>Juan Diego Patiño Ochoa (Gobernador)</v>
    <v>cb5f4001-97ad-dce3-7fca-512daa7f1e5e</v>
    <v>es-ES</v>
    <v>Generic</v>
  </rv>
  <rv s="4">
    <v>10</v>
  </rv>
  <rv s="1">
    <fb>988091</fb>
    <v>10</v>
  </rv>
  <rv s="1">
    <fb>230748</fb>
    <v>10</v>
  </rv>
  <rv s="5">
    <v>#VALUE!</v>
    <v>es-ES</v>
    <v>12859881-10e7-a44f-aa52-ed6ecbc80e7c</v>
    <v>536870912</v>
    <v>1</v>
    <v>36</v>
    <v>3</v>
    <v>4</v>
    <v>Risaralda</v>
    <v>6</v>
    <v>7</v>
    <v>Map</v>
    <v>8</v>
    <v>37</v>
    <v>CO-RIS</v>
    <v>95</v>
    <v>96</v>
    <v>96</v>
    <v>Risaralda es uno de los treinta y dos departamentos que forman la República de Colombia. Su capital y ciudad más poblada es Pereira. Está ubicado en el centro-oeste del país, en la región andina. Con 4140 km² es el cuarto departamento menos ...</v>
    <v>97</v>
    <v>98</v>
    <v>101</v>
    <v>Risaralda</v>
    <v>21</v>
    <v>102</v>
    <v>103</v>
    <v>Risaralda</v>
    <v>mdp/vdpid/27859</v>
    <v>11</v>
  </rv>
  <rv s="0">
    <v>536870912</v>
    <v>Meta</v>
    <v>30c3c263-a281-f2d2-6787-511d37d41ddf</v>
    <v>es-ES</v>
    <v>Map</v>
  </rv>
  <rv s="1">
    <fb>85635</fb>
    <v>10</v>
  </rv>
  <rv s="0">
    <v>536870912</v>
    <v>Villavicencio</v>
    <v>061f744c-689b-fc4e-336d-58ff74f02bb7</v>
    <v>es-CO</v>
    <v>Map</v>
  </rv>
  <rv s="2">
    <v>9</v>
    <v>8</v>
    <v>38</v>
    <v>7</v>
    <v>0</v>
    <v>Image of Meta</v>
  </rv>
  <rv s="3">
    <v>https://www.bing.com/search?q=Meta+Colombia&amp;form=skydnc</v>
    <v>Aprenda más con Bing</v>
  </rv>
  <rv s="0">
    <v>805306368</v>
    <v>Marcela Amaya (Gobernador)</v>
    <v>7096fdc4-ce58-d956-7650-e4b53171652b</v>
    <v>es-CO</v>
    <v>Generic</v>
  </rv>
  <rv s="4">
    <v>11</v>
  </rv>
  <rv s="1">
    <fb>1039722</fb>
    <v>10</v>
  </rv>
  <rv s="1">
    <fb>179624</fb>
    <v>10</v>
  </rv>
  <rv s="5">
    <v>#VALUE!</v>
    <v>es-ES</v>
    <v>30c3c263-a281-f2d2-6787-511d37d41ddf</v>
    <v>536870912</v>
    <v>1</v>
    <v>40</v>
    <v>3</v>
    <v>4</v>
    <v>Meta</v>
    <v>6</v>
    <v>7</v>
    <v>Map</v>
    <v>8</v>
    <v>14</v>
    <v>CO-MET</v>
    <v>106</v>
    <v>107</v>
    <v>107</v>
    <v>Meta es uno de los treinta y dos departamentos que forman la República de Colombia. Su capital es Villavicencio. Está ubicado en el centro del país, en la región Orinoquía. Con 85 635 km² es el cuarto departamento más extenso, por detrás de ...</v>
    <v>108</v>
    <v>109</v>
    <v>111</v>
    <v>Meta</v>
    <v>79</v>
    <v>112</v>
    <v>113</v>
    <v>Meta</v>
    <v>mdp/vdpid/10106924</v>
    <v>11</v>
  </rv>
  <rv s="0">
    <v>536870912</v>
    <v>La Guajira</v>
    <v>5dadb66e-c4f1-8556-c08f-671a606edf84</v>
    <v>es-ES</v>
    <v>Map</v>
  </rv>
  <rv s="1">
    <fb>20848</fb>
    <v>10</v>
  </rv>
  <rv s="0">
    <v>536870912</v>
    <v>Riohacha</v>
    <v>f49d0eea-63a6-74bd-7610-26e440494dda</v>
    <v>es-ES</v>
    <v>Map</v>
  </rv>
  <rv s="0">
    <v>536870912</v>
    <v>Uribia</v>
    <v>079ebe16-eeaa-f321-420d-7a8c4b2a599d</v>
    <v>es-ES</v>
    <v>Map</v>
  </rv>
  <rv s="2">
    <v>10</v>
    <v>8</v>
    <v>41</v>
    <v>7</v>
    <v>0</v>
    <v>Image of La Guajira</v>
  </rv>
  <rv s="3">
    <v>https://www.bing.com/search?q=La+Guajira&amp;form=skydnc</v>
    <v>Aprenda más con Bing</v>
  </rv>
  <rv s="0">
    <v>805306368</v>
    <v>Jairo Aguilar (Governor)</v>
    <v>d70ef1be-dde6-4003-8625-1cb47e77eb60</v>
    <v>es-ES</v>
    <v>Generic</v>
  </rv>
  <rv s="0">
    <v>805306368</v>
    <v>Jairo Aguilar (Gobernador)</v>
    <v>d70ef1be-dde6-4003-8625-1cb47e77eb60</v>
    <v>es-ES</v>
    <v>Generic</v>
  </rv>
  <rv s="4">
    <v>12</v>
  </rv>
  <rv s="1">
    <fb>880560</fb>
    <v>10</v>
  </rv>
  <rv s="1">
    <fb>123078</fb>
    <v>10</v>
  </rv>
  <rv s="5">
    <v>#VALUE!</v>
    <v>es-ES</v>
    <v>5dadb66e-c4f1-8556-c08f-671a606edf84</v>
    <v>536870912</v>
    <v>1</v>
    <v>43</v>
    <v>3</v>
    <v>4</v>
    <v>La Guajira</v>
    <v>6</v>
    <v>7</v>
    <v>Map</v>
    <v>8</v>
    <v>14</v>
    <v>CO-LAG</v>
    <v>116</v>
    <v>117</v>
    <v>118</v>
    <v>La Guajira es uno de los treinta y dos departamentos que forman la República de Colombia. La traducción más precisa de su nombre sería «Caribe hermoso» y en wayunaiki antiguo Karive Pala «Mar Caribe» también puede significar 'Mar del Caribe'. Su ...</v>
    <v>119</v>
    <v>120</v>
    <v>123</v>
    <v>La Guajira</v>
    <v>21</v>
    <v>124</v>
    <v>125</v>
    <v>La Guajira</v>
    <v>mdp/vdpid/10106951</v>
    <v>11</v>
  </rv>
  <rv s="0">
    <v>536870912</v>
    <v>Caldas</v>
    <v>85871477-49bf-4c76-2b8d-3f2500f444d8</v>
    <v>es-ES</v>
    <v>Map</v>
  </rv>
  <rv s="1">
    <fb>7888</fb>
    <v>10</v>
  </rv>
  <rv s="0">
    <v>536870912</v>
    <v>Manizales</v>
    <v>bd9d0749-454d-d6e3-1695-5fdb48ea0d4f</v>
    <v>es-CO</v>
    <v>Map</v>
  </rv>
  <rv s="2">
    <v>11</v>
    <v>8</v>
    <v>44</v>
    <v>7</v>
    <v>0</v>
    <v>Image of Caldas</v>
  </rv>
  <rv s="3">
    <v>https://www.bing.com/search?q=Caldas&amp;form=skydnc</v>
    <v>Aprenda más con Bing</v>
  </rv>
  <rv s="0">
    <v>805306368</v>
    <v>Henry Gutiérrez Ángel (Governor)</v>
    <v>a5c5a81a-316c-3717-afba-26dd20439ffa</v>
    <v>es-CO</v>
    <v>Generic</v>
  </rv>
  <rv s="0">
    <v>805306368</v>
    <v>Henry Gutiérrez Ángel (Gobernador)</v>
    <v>a5c5a81a-316c-3717-afba-26dd20439ffa</v>
    <v>es-CO</v>
    <v>Generic</v>
  </rv>
  <rv s="4">
    <v>13</v>
  </rv>
  <rv s="1">
    <fb>998255</fb>
    <v>10</v>
  </rv>
  <rv s="1">
    <fb>256532</fb>
    <v>10</v>
  </rv>
  <rv s="5">
    <v>#VALUE!</v>
    <v>es-ES</v>
    <v>85871477-49bf-4c76-2b8d-3f2500f444d8</v>
    <v>536870912</v>
    <v>1</v>
    <v>46</v>
    <v>3</v>
    <v>4</v>
    <v>Caldas</v>
    <v>6</v>
    <v>7</v>
    <v>Map</v>
    <v>8</v>
    <v>14</v>
    <v>CO-CAL</v>
    <v>128</v>
    <v>129</v>
    <v>129</v>
    <v>Caldas es uno de los treinta y dos departamentos que forman la República de Colombia. Su capital es Manizales. Está ubicado en el centro del país, en la región andina. Con 7888 km² es el quinto departamento menos extenso —por delante de ...</v>
    <v>130</v>
    <v>131</v>
    <v>134</v>
    <v>Caldas</v>
    <v>79</v>
    <v>135</v>
    <v>136</v>
    <v>Caldas</v>
    <v>mdp/vdpid/5575</v>
    <v>11</v>
  </rv>
</rvData>
</file>

<file path=xl/richData/rdrichvaluestructure.xml><?xml version="1.0" encoding="utf-8"?>
<rvStructures xmlns="http://schemas.microsoft.com/office/spreadsheetml/2017/richdata" count="7">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array">
    <k n="array" t="a"/>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Capital/ciudad principal" t="r"/>
    <k n="Ciudad más grande" t="r"/>
    <k n="Descripción" t="s"/>
    <k n="Imagen" t="r"/>
    <k n="LearnMoreOnLink" t="r"/>
    <k n="Líder(es)" t="r"/>
    <k n="Nombre" t="s"/>
    <k n="País o región" t="r"/>
    <k n="Población" t="r"/>
    <k n="Unidades de vivienda"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Capital/ciudad principal" t="r"/>
    <k n="Ciudad más grande" t="r"/>
    <k n="Descripción" t="s"/>
    <k n="Idioma oficial" t="r"/>
    <k n="Imagen" t="r"/>
    <k n="LearnMoreOnLink" t="r"/>
    <k n="Líder(es)" t="r"/>
    <k n="Nombre" t="s"/>
    <k n="País o región" t="r"/>
    <k n="Población" t="r"/>
    <k n="Unidades de vivienda" t="r"/>
    <k n="UniqueName" t="s"/>
    <k n="VDPID/VSID" t="s"/>
    <k n="Zona(s) horaria(s)" t="r"/>
  </s>
</rvStructures>
</file>

<file path=xl/richData/rdsupportingpropertybag.xml><?xml version="1.0" encoding="utf-8"?>
<supportingPropertyBags xmlns="http://schemas.microsoft.com/office/spreadsheetml/2017/richdata2">
  <spbArrays count="2">
    <a count="28">
      <v t="s">%EntityServiceId</v>
      <v t="s">%IsRefreshable</v>
      <v t="s">_CanonicalPropertyNames</v>
      <v t="s">%EntityCulture</v>
      <v t="s">%EntityId</v>
      <v t="s">_Icon</v>
      <v t="s">_Provider</v>
      <v t="s">_Attribution</v>
      <v t="s">_Display</v>
      <v t="s">Nombre</v>
      <v t="s">_Format</v>
      <v t="s">Capital/ciudad principal</v>
      <v t="s">Líder(es)</v>
      <v t="s">País o región</v>
      <v t="s">_SubLabel</v>
      <v t="s">Población</v>
      <v t="s">`Área</v>
      <v t="s">Abreviatura</v>
      <v t="s">Ciudad más grande</v>
      <v t="s">Unidades de vivienda</v>
      <v t="s">Zona(s) horaria(s)</v>
      <v t="s">_Flags</v>
      <v t="s">VDPID/VSID</v>
      <v t="s">UniqueName</v>
      <v t="s">_DisplayString</v>
      <v t="s">LearnMoreOnLink</v>
      <v t="s">Imagen</v>
      <v t="s">Descripción</v>
    </a>
    <a count="29">
      <v t="s">%EntityServiceId</v>
      <v t="s">%IsRefreshable</v>
      <v t="s">_CanonicalPropertyNames</v>
      <v t="s">%EntityCulture</v>
      <v t="s">%EntityId</v>
      <v t="s">_Icon</v>
      <v t="s">_Provider</v>
      <v t="s">_Attribution</v>
      <v t="s">_Display</v>
      <v t="s">Nombre</v>
      <v t="s">_Format</v>
      <v t="s">Capital/ciudad principal</v>
      <v t="s">Líder(es)</v>
      <v t="s">País o región</v>
      <v t="s">_SubLabel</v>
      <v t="s">Población</v>
      <v t="s">`Área</v>
      <v t="s">Abreviatura</v>
      <v t="s">Ciudad más grande</v>
      <v t="s">Idioma oficial</v>
      <v t="s">Unidades de vivienda</v>
      <v t="s">Zona(s) horaria(s)</v>
      <v t="s">_Flags</v>
      <v t="s">VDPID/VSID</v>
      <v t="s">UniqueName</v>
      <v t="s">_DisplayString</v>
      <v t="s">LearnMoreOnLink</v>
      <v t="s">Imagen</v>
      <v t="s">Descripción</v>
    </a>
  </spbArrays>
  <spbData count="47">
    <spb s="0">
      <v xml:space="preserve">Wikipedia	</v>
      <v xml:space="preserve">CC BY-SA 3.0	</v>
      <v xml:space="preserve">https://es.wikipedia.org/wiki/Norte_de_Santander	</v>
      <v xml:space="preserve">https://creativecommons.org/licenses/by-sa/3.0	</v>
    </spb>
    <spb s="0">
      <v xml:space="preserve">Wikipedia	</v>
      <v xml:space="preserve">CC-BY-SA	</v>
      <v xml:space="preserve">http://en.wikipedia.org/wiki/Norte_de_Santander_Department	</v>
      <v xml:space="preserve">http://creativecommons.org/licenses/by-sa/3.0/	</v>
    </spb>
    <spb s="1">
      <v>0</v>
      <v>0</v>
      <v>0</v>
      <v>0</v>
      <v>1</v>
      <v>0</v>
      <v>0</v>
      <v>0</v>
      <v>0</v>
    </spb>
    <spb s="2">
      <v>Area</v>
      <v>Image</v>
      <v>Name</v>
      <v>Population</v>
      <v>UniqueName</v>
      <v>VDPID/VSID</v>
      <v>Abbreviation</v>
      <v>Description</v>
      <v>Country/region</v>
      <v>LearnMoreOnLink</v>
      <v>Largest city</v>
      <v>Housing units</v>
      <v>Capital/Major City</v>
    </spb>
    <spb s="3">
      <v>0</v>
      <v>Name</v>
      <v>LearnMoreOnLink</v>
    </spb>
    <spb s="4">
      <v>0</v>
      <v>0</v>
      <v>0</v>
    </spb>
    <spb s="5">
      <v>5</v>
      <v>5</v>
      <v>5</v>
    </spb>
    <spb s="6">
      <v>1</v>
      <v>2</v>
    </spb>
    <spb s="7">
      <v>https://www.bing.com</v>
      <v>https://www.bing.com/th?id=Ga%5Cbing_yt.png&amp;w=100&amp;h=40&amp;c=0&amp;pid=0.1</v>
      <v>Con tecnología de Bing</v>
    </spb>
    <spb s="8">
      <v>kilómetro cuadrado</v>
      <v>2023</v>
      <v>2005</v>
    </spb>
    <spb s="9">
      <v>3</v>
    </spb>
    <spb s="0">
      <v xml:space="preserve">Wikipedia	</v>
      <v xml:space="preserve">CC BY-SA 3.0	</v>
      <v xml:space="preserve">https://es.wikipedia.org/wiki/Magdalena_(Colombia)	</v>
      <v xml:space="preserve">https://creativecommons.org/licenses/by-sa/3.0	</v>
    </spb>
    <spb s="0">
      <v xml:space="preserve">Wikipedia	</v>
      <v xml:space="preserve">CC-BY-SA	</v>
      <v xml:space="preserve">http://en.wikipedia.org/wiki/Magdalena_Department	</v>
      <v xml:space="preserve">http://creativecommons.org/licenses/by-sa/3.0/	</v>
    </spb>
    <spb s="1">
      <v>11</v>
      <v>11</v>
      <v>11</v>
      <v>11</v>
      <v>12</v>
      <v>11</v>
      <v>11</v>
      <v>11</v>
      <v>11</v>
    </spb>
    <spb s="8">
      <v>kilómetro cuadrado</v>
      <v>2018</v>
      <v>2005</v>
    </spb>
    <spb s="0">
      <v xml:space="preserve">Wikipedia	</v>
      <v xml:space="preserve">CC BY-SA 3.0	</v>
      <v xml:space="preserve">https://es.wikipedia.org/wiki/Santander_(Colombia)	</v>
      <v xml:space="preserve">https://creativecommons.org/licenses/by-sa/3.0	</v>
    </spb>
    <spb s="0">
      <v xml:space="preserve">Wikipedia	</v>
      <v xml:space="preserve">CC-BY-SA	</v>
      <v xml:space="preserve">http://en.wikipedia.org/wiki/Santander_Department	</v>
      <v xml:space="preserve">http://creativecommons.org/licenses/by-sa/3.0/	</v>
    </spb>
    <spb s="1">
      <v>15</v>
      <v>15</v>
      <v>15</v>
      <v>15</v>
      <v>16</v>
      <v>15</v>
      <v>15</v>
      <v>15</v>
      <v>15</v>
    </spb>
    <spb s="0">
      <v xml:space="preserve">Wikipedia	</v>
      <v xml:space="preserve">CC BY-SA 3.0	</v>
      <v xml:space="preserve">https://es.wikipedia.org/wiki/Valle_del_Cauca	</v>
      <v xml:space="preserve">https://creativecommons.org/licenses/by-sa/3.0	</v>
    </spb>
    <spb s="0">
      <v xml:space="preserve">Wikipedia	</v>
      <v xml:space="preserve">CC-BY-SA	</v>
      <v xml:space="preserve">http://en.wikipedia.org/wiki/Valle_del_Cauca_Department	</v>
      <v xml:space="preserve">http://creativecommons.org/licenses/by-sa/3.0/	</v>
    </spb>
    <spb s="1">
      <v>18</v>
      <v>18</v>
      <v>18</v>
      <v>18</v>
      <v>19</v>
      <v>18</v>
      <v>18</v>
      <v>18</v>
      <v>18</v>
    </spb>
    <spb s="0">
      <v xml:space="preserve">Wikipedia	</v>
      <v xml:space="preserve">CC BY-SA 3.0	</v>
      <v xml:space="preserve">https://es.wikipedia.org/wiki/Bol%C3%ADvar_(Colombia)	</v>
      <v xml:space="preserve">https://creativecommons.org/licenses/by-sa/3.0	</v>
    </spb>
    <spb s="0">
      <v xml:space="preserve">Wikipedia	</v>
      <v xml:space="preserve">CC-BY-SA	</v>
      <v xml:space="preserve">http://en.wikipedia.org/wiki/Bolívar_Department	</v>
      <v xml:space="preserve">http://creativecommons.org/licenses/by-sa/3.0/	</v>
    </spb>
    <spb s="1">
      <v>21</v>
      <v>21</v>
      <v>21</v>
      <v>21</v>
      <v>22</v>
      <v>21</v>
      <v>21</v>
      <v>21</v>
      <v>21</v>
    </spb>
    <spb s="0">
      <v xml:space="preserve">Wikipedia	</v>
      <v xml:space="preserve">CC BY-SA 3.0	</v>
      <v xml:space="preserve">https://es.wikipedia.org/wiki/Atl%C3%A1ntico_(Colombia)	</v>
      <v xml:space="preserve">https://creativecommons.org/licenses/by-sa/3.0	</v>
    </spb>
    <spb s="0">
      <v xml:space="preserve">Wikipedia	</v>
      <v xml:space="preserve">CC-BY-SA	</v>
      <v xml:space="preserve">http://en.wikipedia.org/wiki/Atlántico_Department	</v>
      <v xml:space="preserve">http://creativecommons.org/licenses/by-sa/3.0/	</v>
    </spb>
    <spb s="1">
      <v>24</v>
      <v>24</v>
      <v>24</v>
      <v>24</v>
      <v>25</v>
      <v>24</v>
      <v>24</v>
      <v>24</v>
      <v>24</v>
    </spb>
    <spb s="0">
      <v xml:space="preserve">Wikipedia	</v>
      <v xml:space="preserve">CC BY-SA 3.0	</v>
      <v xml:space="preserve">https://es.wikipedia.org/wiki/Antioquia	</v>
      <v xml:space="preserve">https://creativecommons.org/licenses/by-sa/3.0	</v>
    </spb>
    <spb s="0">
      <v xml:space="preserve">Wikipedia	</v>
      <v xml:space="preserve">CC-BY-SA	</v>
      <v xml:space="preserve">http://en.wikipedia.org/wiki/Antioquia_Department	</v>
      <v xml:space="preserve">http://creativecommons.org/licenses/by-sa/3.0/	</v>
    </spb>
    <spb s="1">
      <v>27</v>
      <v>27</v>
      <v>27</v>
      <v>27</v>
      <v>28</v>
      <v>27</v>
      <v>27</v>
      <v>27</v>
      <v>27</v>
    </spb>
    <spb s="3">
      <v>1</v>
      <v>Name</v>
      <v>LearnMoreOnLink</v>
    </spb>
    <spb s="0">
      <v xml:space="preserve">Wikipedia	</v>
      <v xml:space="preserve">CC BY-SA 3.0	</v>
      <v xml:space="preserve">https://es.wikipedia.org/wiki/Cundinamarca	</v>
      <v xml:space="preserve">https://creativecommons.org/licenses/by-sa/3.0	</v>
    </spb>
    <spb s="0">
      <v xml:space="preserve">Wikipedia	</v>
      <v xml:space="preserve">CC-BY-SA	</v>
      <v xml:space="preserve">http://en.wikipedia.org/wiki/Cundinamarca_Department	</v>
      <v xml:space="preserve">http://creativecommons.org/licenses/by-sa/3.0/	</v>
    </spb>
    <spb s="1">
      <v>31</v>
      <v>31</v>
      <v>31</v>
      <v>31</v>
      <v>32</v>
      <v>31</v>
      <v>31</v>
      <v>31</v>
      <v>31</v>
    </spb>
    <spb s="0">
      <v xml:space="preserve">Wikipedia	</v>
      <v xml:space="preserve">CC BY-SA 3.0	</v>
      <v xml:space="preserve">https://es.wikipedia.org/wiki/Risaralda	</v>
      <v xml:space="preserve">https://creativecommons.org/licenses/by-sa/3.0	</v>
    </spb>
    <spb s="0">
      <v xml:space="preserve">Wikipedia	</v>
      <v xml:space="preserve">CC-BY-SA	</v>
      <v xml:space="preserve">http://en.wikipedia.org/wiki/Risaralda_Department	</v>
      <v xml:space="preserve">http://creativecommons.org/licenses/by-sa/3.0/	</v>
    </spb>
    <spb s="1">
      <v>34</v>
      <v>34</v>
      <v>34</v>
      <v>34</v>
      <v>35</v>
      <v>34</v>
      <v>34</v>
      <v>34</v>
      <v>34</v>
    </spb>
    <spb s="8">
      <v>kilómetro cuadrado</v>
      <v>2024</v>
      <v>2005</v>
    </spb>
    <spb s="0">
      <v xml:space="preserve">Wikipedia	</v>
      <v xml:space="preserve">CC BY-SA 3.0	</v>
      <v xml:space="preserve">https://es.wikipedia.org/wiki/Meta_(Colombia)	</v>
      <v xml:space="preserve">https://creativecommons.org/licenses/by-sa/3.0	</v>
    </spb>
    <spb s="0">
      <v xml:space="preserve">Wikipedia	</v>
      <v xml:space="preserve">CC-BY-SA	</v>
      <v xml:space="preserve">http://en.wikipedia.org/wiki/Meta_Department	</v>
      <v xml:space="preserve">http://creativecommons.org/licenses/by-sa/3.0/	</v>
    </spb>
    <spb s="1">
      <v>38</v>
      <v>38</v>
      <v>38</v>
      <v>38</v>
      <v>39</v>
      <v>38</v>
      <v>38</v>
      <v>38</v>
      <v>38</v>
    </spb>
    <spb s="0">
      <v xml:space="preserve">Wikipedia	</v>
      <v xml:space="preserve">CC BY-SA 3.0	</v>
      <v xml:space="preserve">https://es.wikipedia.org/wiki/La_Guajira	</v>
      <v xml:space="preserve">https://creativecommons.org/licenses/by-sa/3.0	</v>
    </spb>
    <spb s="0">
      <v xml:space="preserve">Wikipedia	</v>
      <v xml:space="preserve">CC-BY-SA	</v>
      <v xml:space="preserve">http://en.wikipedia.org/wiki/La_Guajira_Department	</v>
      <v xml:space="preserve">http://creativecommons.org/licenses/by-sa/3.0/	</v>
    </spb>
    <spb s="10">
      <v>41</v>
      <v>41</v>
      <v>41</v>
      <v>41</v>
      <v>42</v>
      <v>41</v>
      <v>41</v>
      <v>41</v>
    </spb>
    <spb s="0">
      <v xml:space="preserve">Wikipedia	</v>
      <v xml:space="preserve">CC BY-SA 3.0	</v>
      <v xml:space="preserve">https://es.wikipedia.org/wiki/Caldas	</v>
      <v xml:space="preserve">https://creativecommons.org/licenses/by-sa/3.0	</v>
    </spb>
    <spb s="0">
      <v xml:space="preserve">Wikipedia	</v>
      <v xml:space="preserve">CC-BY-SA	</v>
      <v xml:space="preserve">http://en.wikipedia.org/wiki/Caldas_Department	</v>
      <v xml:space="preserve">http://creativecommons.org/licenses/by-sa/3.0/	</v>
    </spb>
    <spb s="1">
      <v>44</v>
      <v>44</v>
      <v>44</v>
      <v>44</v>
      <v>45</v>
      <v>44</v>
      <v>44</v>
      <v>44</v>
      <v>44</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Área" t="spb"/>
    <k n="Nombre" t="spb"/>
    <k n="Población" t="spb"/>
    <k n="UniqueName" t="spb"/>
    <k n="Abreviatura" t="spb"/>
    <k n="Descripción" t="spb"/>
    <k n="País o región" t="spb"/>
    <k n="Ciudad más grande" t="spb"/>
    <k n="Capital/ciudad principal" t="spb"/>
  </s>
  <s>
    <k n="Área" t="s"/>
    <k n="Imagen" t="s"/>
    <k n="Nombre" t="s"/>
    <k n="Población" t="s"/>
    <k n="UniqueName" t="s"/>
    <k n="VDPID/VSID" t="s"/>
    <k n="Abreviatura" t="s"/>
    <k n="Descripción" t="s"/>
    <k n="País o región" t="s"/>
    <k n="LearnMoreOnLink" t="s"/>
    <k n="Ciudad más grande" t="s"/>
    <k n="Unidades de vivienda" t="s"/>
    <k n="Capital/ciudad principal" t="s"/>
  </s>
  <s>
    <k n="^Order" t="spba"/>
    <k n="TitleProperty" t="s"/>
    <k n="SubTitleProperty" t="s"/>
  </s>
  <s>
    <k n="ShowInCardView" t="b"/>
    <k n="ShowInDotNotation" t="b"/>
    <k n="ShowInAutoComplete" t="b"/>
  </s>
  <s>
    <k n="UniqueName" t="spb"/>
    <k n="VDPID/VSID" t="spb"/>
    <k n="LearnMoreOnLink" t="spb"/>
  </s>
  <s>
    <k n="Imagen" t="i"/>
    <k n="Nombre" t="i"/>
  </s>
  <s>
    <k n="link" t="s"/>
    <k n="logo" t="s"/>
    <k n="name" t="s"/>
  </s>
  <s>
    <k n="`Área" t="s"/>
    <k n="Población" t="s"/>
    <k n="Unidades de vivienda" t="s"/>
  </s>
  <s>
    <k n="_Self" t="i"/>
  </s>
  <s>
    <k n="`Área" t="spb"/>
    <k n="Nombre" t="spb"/>
    <k n="Población" t="spb"/>
    <k n="UniqueName" t="spb"/>
    <k n="Abreviatura" t="spb"/>
    <k n="Descripción" t="spb"/>
    <k n="País o región" t="spb"/>
    <k n="Capital/ciudad principal"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
    <x:dxf>
      <x:numFmt numFmtId="3" formatCode="#,##0"/>
    </x:dxf>
  </dxfs>
  <richProperties>
    <rPr n="IsHeroField" t="b"/>
    <rPr n="IsTitleField" t="b"/>
    <rPr n="NumberFormat" t="s"/>
  </richProperties>
  <richStyles>
    <rSty>
      <rpv i="0">1</rpv>
    </rSty>
    <rSty>
      <rpv i="1">1</rpv>
    </rSty>
    <rSty dxfid="0">
      <rpv i="2">#,##0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C44D67-49EF-4B1B-AC82-C136E5B94D56}" name="Tabla1" displayName="Tabla1" ref="A1:J301" totalsRowShown="0">
  <autoFilter ref="A1:J301" xr:uid="{78C44D67-49EF-4B1B-AC82-C136E5B94D56}"/>
  <tableColumns count="10">
    <tableColumn id="1" xr3:uid="{73E9D850-8F35-451E-9CB8-9EB34EDAF132}" name="IdAccidente"/>
    <tableColumn id="2" xr3:uid="{E8534C88-0ECB-478A-904D-66FA81E0BF2E}" name="Fecha"/>
    <tableColumn id="3" xr3:uid="{D336154A-FAC8-4037-A3FA-BE003CDAF37B}" name="Hora"/>
    <tableColumn id="4" xr3:uid="{689B5E94-D8B5-48CE-92DC-87A254DB536A}" name="IdInterseccion"/>
    <tableColumn id="5" xr3:uid="{4E9A2D73-232F-44EC-AEB8-6954AA8CA9D8}" name="TipoAccidente"/>
    <tableColumn id="6" xr3:uid="{F73A14E5-1B83-4CC3-A1A4-1A156847F024}" name="TipoVehiculoResponsable"/>
    <tableColumn id="7" xr3:uid="{6D6E1AF7-404E-4D74-8F63-CF2D2B9E4FE6}" name="VehiculosInvolucrados"/>
    <tableColumn id="8" xr3:uid="{C04D475A-20F3-4AA8-9115-74769E733163}" name="Heridos"/>
    <tableColumn id="9" xr3:uid="{BA723143-F03C-4A7D-84C8-9C70FFB7A94B}" name="Fallecidos"/>
    <tableColumn id="10" xr3:uid="{5BE1D285-A34D-4BCE-87C8-13DBBC869594}" name="CondicionClimatica"/>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A6D2DB-3772-4E01-9C9A-B338F6485FE7}" name="Tabla2" displayName="Tabla2" ref="A1:M101" totalsRowShown="0">
  <autoFilter ref="A1:M101" xr:uid="{9BA6D2DB-3772-4E01-9C9A-B338F6485FE7}"/>
  <tableColumns count="13">
    <tableColumn id="1" xr3:uid="{D278E1E9-ED3D-4675-A4ED-E81CA424DBA8}" name="#"/>
    <tableColumn id="2" xr3:uid="{6D2BDD2B-E9EE-4689-A79D-B66CF448EA45}" name="IdInterseccion"/>
    <tableColumn id="3" xr3:uid="{B92A757A-4FF1-49A3-97CF-68B2DE2B2CDF}" name="NombreInterseccion"/>
    <tableColumn id="4" xr3:uid="{F0A5B724-AEB9-4400-BDC8-55C185D08B5B}" name="Ciudad"/>
    <tableColumn id="5" xr3:uid="{1D80D234-E78C-4E99-AA87-86E3E2F8EF87}" name="Departamento" dataDxfId="0"/>
    <tableColumn id="6" xr3:uid="{707F474F-87BE-405B-BB8A-FE9419D72637}" name="EstadoVia"/>
    <tableColumn id="7" xr3:uid="{6AB6C068-FDC5-42E4-BF96-CC78B539AC11}" name="Latitud"/>
    <tableColumn id="8" xr3:uid="{7572A401-94ED-4807-AE1A-181E98F21FA1}" name="Longitud"/>
    <tableColumn id="9" xr3:uid="{4C4196B2-AFF7-4A86-91CF-65A74324BB25}" name="TipoVia"/>
    <tableColumn id="10" xr3:uid="{E25070BB-5C66-44E8-B5E9-3C43CC1E38D3}" name="TipoInterseccion"/>
    <tableColumn id="11" xr3:uid="{DB220704-DB10-43EC-8D2E-ADD7638EB7E9}" name="Semaforo"/>
    <tableColumn id="12" xr3:uid="{0EC5DD3E-8E62-4F77-ACD0-FD326556D932}" name="LímiteVelocidad"/>
    <tableColumn id="13" xr3:uid="{C7431AD9-EDA2-4CA9-9636-6E70453AAE77}" name="FlujoDiarioAprox"/>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19FC4-80AD-4057-802F-04E202871024}">
  <dimension ref="A1:M301"/>
  <sheetViews>
    <sheetView zoomScaleNormal="100" workbookViewId="0">
      <selection activeCell="C16" sqref="C16"/>
    </sheetView>
  </sheetViews>
  <sheetFormatPr baseColWidth="10" defaultColWidth="9.140625" defaultRowHeight="15" x14ac:dyDescent="0.25"/>
  <cols>
    <col min="1" max="1" width="14.28515625" customWidth="1"/>
    <col min="2" max="2" width="14.140625" customWidth="1"/>
    <col min="3" max="3" width="13.7109375" customWidth="1"/>
    <col min="4" max="4" width="16.140625" customWidth="1"/>
    <col min="5" max="5" width="19.85546875" bestFit="1" customWidth="1"/>
    <col min="6" max="6" width="27" customWidth="1"/>
    <col min="7" max="7" width="23.5703125" customWidth="1"/>
    <col min="8" max="9" width="13.7109375" customWidth="1"/>
    <col min="10" max="10" width="20.85546875" customWidth="1"/>
    <col min="13" max="13" width="10.85546875" bestFit="1" customWidth="1"/>
  </cols>
  <sheetData>
    <row r="1" spans="1:13" x14ac:dyDescent="0.25">
      <c r="A1" t="s">
        <v>0</v>
      </c>
      <c r="B1" t="s">
        <v>1</v>
      </c>
      <c r="C1" t="s">
        <v>2</v>
      </c>
      <c r="D1" t="s">
        <v>3</v>
      </c>
      <c r="E1" t="s">
        <v>4</v>
      </c>
      <c r="F1" t="s">
        <v>623</v>
      </c>
      <c r="G1" t="s">
        <v>5</v>
      </c>
      <c r="H1" t="s">
        <v>6</v>
      </c>
      <c r="I1" t="s">
        <v>7</v>
      </c>
      <c r="J1" t="s">
        <v>8</v>
      </c>
    </row>
    <row r="2" spans="1:13" x14ac:dyDescent="0.25">
      <c r="A2" t="s">
        <v>9</v>
      </c>
      <c r="B2">
        <v>46189</v>
      </c>
      <c r="C2">
        <v>0.45055079186221525</v>
      </c>
      <c r="D2" t="s">
        <v>72</v>
      </c>
      <c r="E2" t="s">
        <v>18</v>
      </c>
      <c r="F2" t="s">
        <v>596</v>
      </c>
      <c r="G2">
        <v>1</v>
      </c>
      <c r="H2">
        <v>4</v>
      </c>
      <c r="I2">
        <v>2</v>
      </c>
      <c r="J2" t="s">
        <v>551</v>
      </c>
    </row>
    <row r="3" spans="1:13" x14ac:dyDescent="0.25">
      <c r="A3" t="s">
        <v>11</v>
      </c>
      <c r="B3">
        <v>46101</v>
      </c>
      <c r="C3">
        <v>4.8836569225736093E-2</v>
      </c>
      <c r="D3" t="s">
        <v>238</v>
      </c>
      <c r="E3" t="s">
        <v>627</v>
      </c>
      <c r="F3" t="s">
        <v>588</v>
      </c>
      <c r="G3">
        <v>3</v>
      </c>
      <c r="H3">
        <v>3</v>
      </c>
      <c r="I3">
        <v>1</v>
      </c>
      <c r="J3" t="s">
        <v>549</v>
      </c>
      <c r="M3" s="4"/>
    </row>
    <row r="4" spans="1:13" x14ac:dyDescent="0.25">
      <c r="A4" t="s">
        <v>14</v>
      </c>
      <c r="B4">
        <v>46036</v>
      </c>
      <c r="C4">
        <v>0.6490480251333054</v>
      </c>
      <c r="D4" t="s">
        <v>248</v>
      </c>
      <c r="E4" t="s">
        <v>540</v>
      </c>
      <c r="F4" t="s">
        <v>588</v>
      </c>
      <c r="G4">
        <v>3</v>
      </c>
      <c r="H4">
        <v>2</v>
      </c>
      <c r="I4">
        <v>0</v>
      </c>
      <c r="J4" t="s">
        <v>555</v>
      </c>
      <c r="M4" s="4"/>
    </row>
    <row r="5" spans="1:13" x14ac:dyDescent="0.25">
      <c r="A5" t="s">
        <v>16</v>
      </c>
      <c r="B5">
        <v>46110</v>
      </c>
      <c r="C5">
        <v>0.75127801987578302</v>
      </c>
      <c r="D5" t="s">
        <v>251</v>
      </c>
      <c r="E5" t="s">
        <v>13</v>
      </c>
      <c r="F5" t="s">
        <v>596</v>
      </c>
      <c r="G5">
        <v>1</v>
      </c>
      <c r="H5">
        <v>3</v>
      </c>
      <c r="I5">
        <v>0</v>
      </c>
      <c r="J5" t="s">
        <v>555</v>
      </c>
    </row>
    <row r="6" spans="1:13" x14ac:dyDescent="0.25">
      <c r="A6" t="s">
        <v>19</v>
      </c>
      <c r="B6">
        <v>46170</v>
      </c>
      <c r="C6">
        <v>7.79060039048588E-2</v>
      </c>
      <c r="D6" t="s">
        <v>56</v>
      </c>
      <c r="E6" t="s">
        <v>545</v>
      </c>
      <c r="F6" t="s">
        <v>600</v>
      </c>
      <c r="G6">
        <v>3</v>
      </c>
      <c r="H6">
        <v>2</v>
      </c>
      <c r="I6">
        <v>2</v>
      </c>
      <c r="J6" t="s">
        <v>557</v>
      </c>
    </row>
    <row r="7" spans="1:13" x14ac:dyDescent="0.25">
      <c r="A7" t="s">
        <v>21</v>
      </c>
      <c r="B7">
        <v>46213</v>
      </c>
      <c r="C7">
        <v>0.88361344337022218</v>
      </c>
      <c r="D7" t="s">
        <v>36</v>
      </c>
      <c r="E7" t="s">
        <v>18</v>
      </c>
      <c r="F7" t="s">
        <v>590</v>
      </c>
      <c r="G7">
        <v>2</v>
      </c>
      <c r="H7">
        <v>1</v>
      </c>
      <c r="I7">
        <v>1</v>
      </c>
      <c r="J7" t="s">
        <v>555</v>
      </c>
    </row>
    <row r="8" spans="1:13" x14ac:dyDescent="0.25">
      <c r="A8" t="s">
        <v>23</v>
      </c>
      <c r="B8">
        <v>46223</v>
      </c>
      <c r="C8">
        <v>0.96765811570108817</v>
      </c>
      <c r="D8" t="s">
        <v>241</v>
      </c>
      <c r="E8" t="s">
        <v>13</v>
      </c>
      <c r="F8" t="s">
        <v>588</v>
      </c>
      <c r="G8">
        <v>3</v>
      </c>
      <c r="H8">
        <v>2</v>
      </c>
      <c r="I8">
        <v>2</v>
      </c>
      <c r="J8" t="s">
        <v>549</v>
      </c>
    </row>
    <row r="9" spans="1:13" x14ac:dyDescent="0.25">
      <c r="A9" t="s">
        <v>25</v>
      </c>
      <c r="B9">
        <v>46043</v>
      </c>
      <c r="C9">
        <v>0.89021898872459615</v>
      </c>
      <c r="D9" t="s">
        <v>68</v>
      </c>
      <c r="E9" t="s">
        <v>627</v>
      </c>
      <c r="F9" t="s">
        <v>596</v>
      </c>
      <c r="G9">
        <v>2</v>
      </c>
      <c r="H9">
        <v>2</v>
      </c>
      <c r="I9">
        <v>1</v>
      </c>
      <c r="J9" t="s">
        <v>555</v>
      </c>
    </row>
    <row r="10" spans="1:13" x14ac:dyDescent="0.25">
      <c r="A10" t="s">
        <v>27</v>
      </c>
      <c r="B10">
        <v>46062</v>
      </c>
      <c r="C10">
        <v>9.3149473577425423E-2</v>
      </c>
      <c r="D10" t="s">
        <v>281</v>
      </c>
      <c r="E10" t="s">
        <v>18</v>
      </c>
      <c r="F10" t="s">
        <v>590</v>
      </c>
      <c r="G10">
        <v>2</v>
      </c>
      <c r="H10">
        <v>3</v>
      </c>
      <c r="I10">
        <v>2</v>
      </c>
      <c r="J10" t="s">
        <v>559</v>
      </c>
    </row>
    <row r="11" spans="1:13" x14ac:dyDescent="0.25">
      <c r="A11" t="s">
        <v>29</v>
      </c>
      <c r="B11">
        <v>46191</v>
      </c>
      <c r="C11">
        <v>0.85630139818119211</v>
      </c>
      <c r="D11" t="s">
        <v>104</v>
      </c>
      <c r="E11" t="s">
        <v>627</v>
      </c>
      <c r="F11" t="s">
        <v>588</v>
      </c>
      <c r="G11">
        <v>2</v>
      </c>
      <c r="H11">
        <v>3</v>
      </c>
      <c r="I11">
        <v>2</v>
      </c>
      <c r="J11" t="s">
        <v>553</v>
      </c>
    </row>
    <row r="12" spans="1:13" x14ac:dyDescent="0.25">
      <c r="A12" t="s">
        <v>31</v>
      </c>
      <c r="B12">
        <v>46042</v>
      </c>
      <c r="C12">
        <v>0.28853130696513918</v>
      </c>
      <c r="D12" t="s">
        <v>78</v>
      </c>
      <c r="E12" t="s">
        <v>545</v>
      </c>
      <c r="F12" t="s">
        <v>594</v>
      </c>
      <c r="G12">
        <v>1</v>
      </c>
      <c r="H12">
        <v>3</v>
      </c>
      <c r="I12">
        <v>0</v>
      </c>
      <c r="J12" t="s">
        <v>557</v>
      </c>
    </row>
    <row r="13" spans="1:13" x14ac:dyDescent="0.25">
      <c r="A13" t="s">
        <v>33</v>
      </c>
      <c r="B13">
        <v>46076</v>
      </c>
      <c r="C13">
        <v>0.31944036994084524</v>
      </c>
      <c r="D13" t="s">
        <v>42</v>
      </c>
      <c r="E13" t="s">
        <v>540</v>
      </c>
      <c r="F13" t="s">
        <v>596</v>
      </c>
      <c r="G13">
        <v>2</v>
      </c>
      <c r="H13">
        <v>4</v>
      </c>
      <c r="I13">
        <v>1</v>
      </c>
      <c r="J13" t="s">
        <v>549</v>
      </c>
    </row>
    <row r="14" spans="1:13" x14ac:dyDescent="0.25">
      <c r="A14" t="s">
        <v>35</v>
      </c>
      <c r="B14">
        <v>46156</v>
      </c>
      <c r="C14">
        <v>0.10332154886475209</v>
      </c>
      <c r="D14" t="s">
        <v>106</v>
      </c>
      <c r="E14" t="s">
        <v>540</v>
      </c>
      <c r="F14" t="s">
        <v>592</v>
      </c>
      <c r="G14">
        <v>2</v>
      </c>
      <c r="H14">
        <v>1</v>
      </c>
      <c r="I14">
        <v>1</v>
      </c>
      <c r="J14" t="s">
        <v>557</v>
      </c>
    </row>
    <row r="15" spans="1:13" x14ac:dyDescent="0.25">
      <c r="A15" t="s">
        <v>47</v>
      </c>
      <c r="B15">
        <v>46044</v>
      </c>
      <c r="C15">
        <v>9.367537627751843E-2</v>
      </c>
      <c r="D15" t="s">
        <v>96</v>
      </c>
      <c r="E15" t="s">
        <v>13</v>
      </c>
      <c r="F15" t="s">
        <v>588</v>
      </c>
      <c r="G15">
        <v>3</v>
      </c>
      <c r="H15">
        <v>1</v>
      </c>
      <c r="I15">
        <v>0</v>
      </c>
      <c r="J15" t="s">
        <v>553</v>
      </c>
    </row>
    <row r="16" spans="1:13" x14ac:dyDescent="0.25">
      <c r="A16" t="s">
        <v>39</v>
      </c>
      <c r="B16">
        <v>46192</v>
      </c>
      <c r="C16">
        <v>0.90027889480048606</v>
      </c>
      <c r="D16" t="s">
        <v>284</v>
      </c>
      <c r="E16" t="s">
        <v>545</v>
      </c>
      <c r="F16" t="s">
        <v>596</v>
      </c>
      <c r="G16">
        <v>3</v>
      </c>
      <c r="H16">
        <v>1</v>
      </c>
      <c r="I16">
        <v>2</v>
      </c>
      <c r="J16" t="s">
        <v>559</v>
      </c>
    </row>
    <row r="17" spans="1:10" x14ac:dyDescent="0.25">
      <c r="A17" t="s">
        <v>179</v>
      </c>
      <c r="B17">
        <v>46202</v>
      </c>
      <c r="C17">
        <v>9.1179287638870843E-2</v>
      </c>
      <c r="D17" t="s">
        <v>30</v>
      </c>
      <c r="E17" t="s">
        <v>627</v>
      </c>
      <c r="F17" t="s">
        <v>590</v>
      </c>
      <c r="G17">
        <v>3</v>
      </c>
      <c r="H17">
        <v>3</v>
      </c>
      <c r="I17">
        <v>2</v>
      </c>
      <c r="J17" t="s">
        <v>555</v>
      </c>
    </row>
    <row r="18" spans="1:10" x14ac:dyDescent="0.25">
      <c r="A18" t="s">
        <v>43</v>
      </c>
      <c r="B18">
        <v>46203</v>
      </c>
      <c r="C18">
        <v>0.67206929381221558</v>
      </c>
      <c r="D18" t="s">
        <v>82</v>
      </c>
      <c r="E18" t="s">
        <v>627</v>
      </c>
      <c r="F18" t="s">
        <v>598</v>
      </c>
      <c r="G18">
        <v>3</v>
      </c>
      <c r="H18">
        <v>1</v>
      </c>
      <c r="I18">
        <v>1</v>
      </c>
      <c r="J18" t="s">
        <v>559</v>
      </c>
    </row>
    <row r="19" spans="1:10" x14ac:dyDescent="0.25">
      <c r="A19" t="s">
        <v>45</v>
      </c>
      <c r="B19">
        <v>46224</v>
      </c>
      <c r="C19">
        <v>0.32304830270041252</v>
      </c>
      <c r="D19" t="s">
        <v>30</v>
      </c>
      <c r="E19" t="s">
        <v>545</v>
      </c>
      <c r="F19" t="s">
        <v>594</v>
      </c>
      <c r="G19">
        <v>1</v>
      </c>
      <c r="H19">
        <v>1</v>
      </c>
      <c r="I19">
        <v>2</v>
      </c>
      <c r="J19" t="s">
        <v>555</v>
      </c>
    </row>
    <row r="20" spans="1:10" x14ac:dyDescent="0.25">
      <c r="A20" t="s">
        <v>187</v>
      </c>
      <c r="B20">
        <v>46165</v>
      </c>
      <c r="C20">
        <v>9.0162713667955141E-2</v>
      </c>
      <c r="D20" t="s">
        <v>250</v>
      </c>
      <c r="E20" t="s">
        <v>627</v>
      </c>
      <c r="F20" t="s">
        <v>592</v>
      </c>
      <c r="G20">
        <v>3</v>
      </c>
      <c r="H20">
        <v>2</v>
      </c>
      <c r="I20">
        <v>2</v>
      </c>
      <c r="J20" t="s">
        <v>557</v>
      </c>
    </row>
    <row r="21" spans="1:10" x14ac:dyDescent="0.25">
      <c r="A21" t="s">
        <v>49</v>
      </c>
      <c r="B21">
        <v>46127</v>
      </c>
      <c r="C21">
        <v>0.43323670988775087</v>
      </c>
      <c r="D21" t="s">
        <v>66</v>
      </c>
      <c r="E21" t="s">
        <v>627</v>
      </c>
      <c r="F21" t="s">
        <v>588</v>
      </c>
      <c r="G21">
        <v>1</v>
      </c>
      <c r="H21">
        <v>2</v>
      </c>
      <c r="I21">
        <v>1</v>
      </c>
      <c r="J21" t="s">
        <v>559</v>
      </c>
    </row>
    <row r="22" spans="1:10" x14ac:dyDescent="0.25">
      <c r="A22" t="s">
        <v>51</v>
      </c>
      <c r="B22">
        <v>46216</v>
      </c>
      <c r="C22">
        <v>0.12774996672915495</v>
      </c>
      <c r="D22" t="s">
        <v>245</v>
      </c>
      <c r="E22" t="s">
        <v>18</v>
      </c>
      <c r="F22" t="s">
        <v>586</v>
      </c>
      <c r="G22">
        <v>3</v>
      </c>
      <c r="H22">
        <v>4</v>
      </c>
      <c r="I22">
        <v>1</v>
      </c>
      <c r="J22" t="s">
        <v>559</v>
      </c>
    </row>
    <row r="23" spans="1:10" x14ac:dyDescent="0.25">
      <c r="A23" t="s">
        <v>53</v>
      </c>
      <c r="B23">
        <v>46134</v>
      </c>
      <c r="C23">
        <v>0.57368358400097463</v>
      </c>
      <c r="D23" t="s">
        <v>260</v>
      </c>
      <c r="E23" t="s">
        <v>18</v>
      </c>
      <c r="F23" t="s">
        <v>592</v>
      </c>
      <c r="G23">
        <v>3</v>
      </c>
      <c r="H23">
        <v>2</v>
      </c>
      <c r="I23">
        <v>1</v>
      </c>
      <c r="J23" t="s">
        <v>553</v>
      </c>
    </row>
    <row r="24" spans="1:10" x14ac:dyDescent="0.25">
      <c r="A24" t="s">
        <v>55</v>
      </c>
      <c r="B24">
        <v>46148</v>
      </c>
      <c r="C24">
        <v>0.74117214155644906</v>
      </c>
      <c r="D24" t="s">
        <v>98</v>
      </c>
      <c r="E24" t="s">
        <v>18</v>
      </c>
      <c r="F24" t="s">
        <v>592</v>
      </c>
      <c r="G24">
        <v>1</v>
      </c>
      <c r="H24">
        <v>1</v>
      </c>
      <c r="I24">
        <v>0</v>
      </c>
      <c r="J24" t="s">
        <v>551</v>
      </c>
    </row>
    <row r="25" spans="1:10" x14ac:dyDescent="0.25">
      <c r="A25" t="s">
        <v>57</v>
      </c>
      <c r="B25">
        <v>46038</v>
      </c>
      <c r="C25">
        <v>3.8507160520466988E-2</v>
      </c>
      <c r="D25" t="s">
        <v>34</v>
      </c>
      <c r="E25" t="s">
        <v>540</v>
      </c>
      <c r="F25" t="s">
        <v>596</v>
      </c>
      <c r="G25">
        <v>3</v>
      </c>
      <c r="H25">
        <v>1</v>
      </c>
      <c r="I25">
        <v>0</v>
      </c>
      <c r="J25" t="s">
        <v>553</v>
      </c>
    </row>
    <row r="26" spans="1:10" x14ac:dyDescent="0.25">
      <c r="A26" t="s">
        <v>59</v>
      </c>
      <c r="B26">
        <v>46165</v>
      </c>
      <c r="C26">
        <v>0.17096731159294265</v>
      </c>
      <c r="D26" t="s">
        <v>28</v>
      </c>
      <c r="E26" t="s">
        <v>627</v>
      </c>
      <c r="F26" t="s">
        <v>592</v>
      </c>
      <c r="G26">
        <v>1</v>
      </c>
      <c r="H26">
        <v>1</v>
      </c>
      <c r="I26">
        <v>1</v>
      </c>
      <c r="J26" t="s">
        <v>551</v>
      </c>
    </row>
    <row r="27" spans="1:10" x14ac:dyDescent="0.25">
      <c r="A27" t="s">
        <v>201</v>
      </c>
      <c r="B27">
        <v>46070</v>
      </c>
      <c r="C27">
        <v>0.13873173950107898</v>
      </c>
      <c r="D27" t="s">
        <v>106</v>
      </c>
      <c r="E27" t="s">
        <v>540</v>
      </c>
      <c r="F27" t="s">
        <v>590</v>
      </c>
      <c r="G27">
        <v>3</v>
      </c>
      <c r="H27">
        <v>4</v>
      </c>
      <c r="I27">
        <v>0</v>
      </c>
      <c r="J27" t="s">
        <v>549</v>
      </c>
    </row>
    <row r="28" spans="1:10" x14ac:dyDescent="0.25">
      <c r="A28" t="s">
        <v>63</v>
      </c>
      <c r="B28">
        <v>46032</v>
      </c>
      <c r="C28">
        <v>0.30359157579235951</v>
      </c>
      <c r="D28" t="s">
        <v>84</v>
      </c>
      <c r="E28" t="s">
        <v>540</v>
      </c>
      <c r="F28" t="s">
        <v>586</v>
      </c>
      <c r="G28">
        <v>2</v>
      </c>
      <c r="H28">
        <v>5</v>
      </c>
      <c r="I28">
        <v>1</v>
      </c>
      <c r="J28" t="s">
        <v>559</v>
      </c>
    </row>
    <row r="29" spans="1:10" x14ac:dyDescent="0.25">
      <c r="A29" t="s">
        <v>65</v>
      </c>
      <c r="B29">
        <v>46027</v>
      </c>
      <c r="C29">
        <v>0.19369306083077031</v>
      </c>
      <c r="D29" t="s">
        <v>275</v>
      </c>
      <c r="E29" t="s">
        <v>18</v>
      </c>
      <c r="F29" t="s">
        <v>588</v>
      </c>
      <c r="G29">
        <v>3</v>
      </c>
      <c r="H29">
        <v>5</v>
      </c>
      <c r="I29">
        <v>2</v>
      </c>
      <c r="J29" t="s">
        <v>557</v>
      </c>
    </row>
    <row r="30" spans="1:10" x14ac:dyDescent="0.25">
      <c r="A30" t="s">
        <v>67</v>
      </c>
      <c r="B30">
        <v>46053</v>
      </c>
      <c r="C30">
        <v>0.71467628726525434</v>
      </c>
      <c r="D30" t="s">
        <v>253</v>
      </c>
      <c r="E30" t="s">
        <v>627</v>
      </c>
      <c r="F30" t="s">
        <v>592</v>
      </c>
      <c r="G30">
        <v>2</v>
      </c>
      <c r="H30">
        <v>5</v>
      </c>
      <c r="I30">
        <v>1</v>
      </c>
      <c r="J30" t="s">
        <v>557</v>
      </c>
    </row>
    <row r="31" spans="1:10" x14ac:dyDescent="0.25">
      <c r="A31" t="s">
        <v>69</v>
      </c>
      <c r="B31">
        <v>46073</v>
      </c>
      <c r="C31">
        <v>0.81150940496573098</v>
      </c>
      <c r="D31" t="s">
        <v>15</v>
      </c>
      <c r="E31" t="s">
        <v>540</v>
      </c>
      <c r="F31" t="s">
        <v>594</v>
      </c>
      <c r="G31">
        <v>1</v>
      </c>
      <c r="H31">
        <v>1</v>
      </c>
      <c r="I31">
        <v>1</v>
      </c>
      <c r="J31" t="s">
        <v>549</v>
      </c>
    </row>
    <row r="32" spans="1:10" x14ac:dyDescent="0.25">
      <c r="A32" t="s">
        <v>71</v>
      </c>
      <c r="B32">
        <v>46064</v>
      </c>
      <c r="C32">
        <v>0.84215927623260112</v>
      </c>
      <c r="D32" t="s">
        <v>42</v>
      </c>
      <c r="E32" t="s">
        <v>540</v>
      </c>
      <c r="F32" t="s">
        <v>600</v>
      </c>
      <c r="G32">
        <v>3</v>
      </c>
      <c r="H32">
        <v>2</v>
      </c>
      <c r="I32">
        <v>1</v>
      </c>
      <c r="J32" t="s">
        <v>559</v>
      </c>
    </row>
    <row r="33" spans="1:10" x14ac:dyDescent="0.25">
      <c r="A33" t="s">
        <v>73</v>
      </c>
      <c r="B33">
        <v>46051</v>
      </c>
      <c r="C33">
        <v>0.5242872056996698</v>
      </c>
      <c r="D33" t="s">
        <v>260</v>
      </c>
      <c r="E33" t="s">
        <v>627</v>
      </c>
      <c r="F33" t="s">
        <v>598</v>
      </c>
      <c r="G33">
        <v>2</v>
      </c>
      <c r="H33">
        <v>5</v>
      </c>
      <c r="I33">
        <v>2</v>
      </c>
      <c r="J33" t="s">
        <v>551</v>
      </c>
    </row>
    <row r="34" spans="1:10" x14ac:dyDescent="0.25">
      <c r="A34" t="s">
        <v>75</v>
      </c>
      <c r="B34">
        <v>46191</v>
      </c>
      <c r="C34">
        <v>0.24264030971827488</v>
      </c>
      <c r="D34" t="s">
        <v>26</v>
      </c>
      <c r="E34" t="s">
        <v>545</v>
      </c>
      <c r="F34" t="s">
        <v>588</v>
      </c>
      <c r="G34">
        <v>2</v>
      </c>
      <c r="H34">
        <v>3</v>
      </c>
      <c r="I34">
        <v>2</v>
      </c>
      <c r="J34" t="s">
        <v>549</v>
      </c>
    </row>
    <row r="35" spans="1:10" x14ac:dyDescent="0.25">
      <c r="A35" t="s">
        <v>77</v>
      </c>
      <c r="B35">
        <v>46077</v>
      </c>
      <c r="C35">
        <v>0.22874436795302977</v>
      </c>
      <c r="D35" t="s">
        <v>62</v>
      </c>
      <c r="E35" t="s">
        <v>540</v>
      </c>
      <c r="F35" t="s">
        <v>596</v>
      </c>
      <c r="G35">
        <v>3</v>
      </c>
      <c r="H35">
        <v>4</v>
      </c>
      <c r="I35">
        <v>2</v>
      </c>
      <c r="J35" t="s">
        <v>555</v>
      </c>
    </row>
    <row r="36" spans="1:10" x14ac:dyDescent="0.25">
      <c r="A36" t="s">
        <v>204</v>
      </c>
      <c r="B36">
        <v>46092</v>
      </c>
      <c r="C36">
        <v>6.0171377445551677E-2</v>
      </c>
      <c r="D36" t="s">
        <v>284</v>
      </c>
      <c r="E36" t="s">
        <v>13</v>
      </c>
      <c r="F36" t="s">
        <v>590</v>
      </c>
      <c r="G36">
        <v>3</v>
      </c>
      <c r="H36">
        <v>2</v>
      </c>
      <c r="I36">
        <v>0</v>
      </c>
      <c r="J36" t="s">
        <v>549</v>
      </c>
    </row>
    <row r="37" spans="1:10" x14ac:dyDescent="0.25">
      <c r="A37" t="s">
        <v>81</v>
      </c>
      <c r="B37">
        <v>46173</v>
      </c>
      <c r="C37">
        <v>0.88654896316400544</v>
      </c>
      <c r="D37" t="s">
        <v>74</v>
      </c>
      <c r="E37" t="s">
        <v>13</v>
      </c>
      <c r="F37" t="s">
        <v>594</v>
      </c>
      <c r="G37">
        <v>1</v>
      </c>
      <c r="H37">
        <v>2</v>
      </c>
      <c r="I37">
        <v>1</v>
      </c>
      <c r="J37" t="s">
        <v>553</v>
      </c>
    </row>
    <row r="38" spans="1:10" x14ac:dyDescent="0.25">
      <c r="A38" t="s">
        <v>83</v>
      </c>
      <c r="B38">
        <v>46110</v>
      </c>
      <c r="C38">
        <v>0.84119421238146386</v>
      </c>
      <c r="D38" t="s">
        <v>265</v>
      </c>
      <c r="E38" t="s">
        <v>18</v>
      </c>
      <c r="F38" t="s">
        <v>586</v>
      </c>
      <c r="G38">
        <v>3</v>
      </c>
      <c r="H38">
        <v>5</v>
      </c>
      <c r="I38">
        <v>1</v>
      </c>
      <c r="J38" t="s">
        <v>555</v>
      </c>
    </row>
    <row r="39" spans="1:10" x14ac:dyDescent="0.25">
      <c r="A39" t="s">
        <v>85</v>
      </c>
      <c r="B39">
        <v>46038</v>
      </c>
      <c r="C39">
        <v>0.92522568920223025</v>
      </c>
      <c r="D39" t="s">
        <v>261</v>
      </c>
      <c r="E39" t="s">
        <v>540</v>
      </c>
      <c r="F39" t="s">
        <v>588</v>
      </c>
      <c r="G39">
        <v>2</v>
      </c>
      <c r="H39">
        <v>1</v>
      </c>
      <c r="I39">
        <v>0</v>
      </c>
      <c r="J39" t="s">
        <v>553</v>
      </c>
    </row>
    <row r="40" spans="1:10" x14ac:dyDescent="0.25">
      <c r="A40" t="s">
        <v>351</v>
      </c>
      <c r="B40">
        <v>46206</v>
      </c>
      <c r="C40">
        <v>0.3856249356731708</v>
      </c>
      <c r="D40" t="s">
        <v>104</v>
      </c>
      <c r="E40" t="s">
        <v>627</v>
      </c>
      <c r="F40" t="s">
        <v>592</v>
      </c>
      <c r="G40">
        <v>3</v>
      </c>
      <c r="H40">
        <v>4</v>
      </c>
      <c r="I40">
        <v>0</v>
      </c>
      <c r="J40" t="s">
        <v>551</v>
      </c>
    </row>
    <row r="41" spans="1:10" x14ac:dyDescent="0.25">
      <c r="A41" t="s">
        <v>89</v>
      </c>
      <c r="B41">
        <v>46110</v>
      </c>
      <c r="C41">
        <v>0.71451651014228112</v>
      </c>
      <c r="D41" t="s">
        <v>86</v>
      </c>
      <c r="E41" t="s">
        <v>540</v>
      </c>
      <c r="F41" t="s">
        <v>588</v>
      </c>
      <c r="G41">
        <v>3</v>
      </c>
      <c r="H41">
        <v>2</v>
      </c>
      <c r="I41">
        <v>2</v>
      </c>
      <c r="J41" t="s">
        <v>557</v>
      </c>
    </row>
    <row r="42" spans="1:10" x14ac:dyDescent="0.25">
      <c r="A42" t="s">
        <v>91</v>
      </c>
      <c r="B42">
        <v>46172</v>
      </c>
      <c r="C42">
        <v>0.33739700107484105</v>
      </c>
      <c r="D42" t="s">
        <v>36</v>
      </c>
      <c r="E42" t="s">
        <v>545</v>
      </c>
      <c r="F42" t="s">
        <v>594</v>
      </c>
      <c r="G42">
        <v>1</v>
      </c>
      <c r="H42">
        <v>1</v>
      </c>
      <c r="I42">
        <v>0</v>
      </c>
      <c r="J42" t="s">
        <v>551</v>
      </c>
    </row>
    <row r="43" spans="1:10" x14ac:dyDescent="0.25">
      <c r="A43" t="s">
        <v>93</v>
      </c>
      <c r="B43">
        <v>46076</v>
      </c>
      <c r="C43">
        <v>0.20398144737661206</v>
      </c>
      <c r="D43" t="s">
        <v>242</v>
      </c>
      <c r="E43" t="s">
        <v>627</v>
      </c>
      <c r="F43" t="s">
        <v>598</v>
      </c>
      <c r="G43">
        <v>2</v>
      </c>
      <c r="H43">
        <v>5</v>
      </c>
      <c r="I43">
        <v>0</v>
      </c>
      <c r="J43" t="s">
        <v>557</v>
      </c>
    </row>
    <row r="44" spans="1:10" x14ac:dyDescent="0.25">
      <c r="A44" t="s">
        <v>95</v>
      </c>
      <c r="B44">
        <v>46172</v>
      </c>
      <c r="C44">
        <v>0.4043456001243223</v>
      </c>
      <c r="D44" t="s">
        <v>245</v>
      </c>
      <c r="E44" t="s">
        <v>545</v>
      </c>
      <c r="F44" t="s">
        <v>600</v>
      </c>
      <c r="G44">
        <v>3</v>
      </c>
      <c r="H44">
        <v>5</v>
      </c>
      <c r="I44">
        <v>2</v>
      </c>
      <c r="J44" t="s">
        <v>549</v>
      </c>
    </row>
    <row r="45" spans="1:10" x14ac:dyDescent="0.25">
      <c r="A45" t="s">
        <v>97</v>
      </c>
      <c r="B45">
        <v>46121</v>
      </c>
      <c r="C45">
        <v>0.85205440740250682</v>
      </c>
      <c r="D45" t="s">
        <v>80</v>
      </c>
      <c r="E45" t="s">
        <v>18</v>
      </c>
      <c r="F45" t="s">
        <v>588</v>
      </c>
      <c r="G45">
        <v>2</v>
      </c>
      <c r="H45">
        <v>3</v>
      </c>
      <c r="I45">
        <v>2</v>
      </c>
      <c r="J45" t="s">
        <v>559</v>
      </c>
    </row>
    <row r="46" spans="1:10" x14ac:dyDescent="0.25">
      <c r="A46" t="s">
        <v>99</v>
      </c>
      <c r="B46">
        <v>46091</v>
      </c>
      <c r="C46">
        <v>7.5181388395746507E-2</v>
      </c>
      <c r="D46" t="s">
        <v>106</v>
      </c>
      <c r="E46" t="s">
        <v>13</v>
      </c>
      <c r="F46" t="s">
        <v>590</v>
      </c>
      <c r="G46">
        <v>3</v>
      </c>
      <c r="H46">
        <v>1</v>
      </c>
      <c r="I46">
        <v>1</v>
      </c>
      <c r="J46" t="s">
        <v>553</v>
      </c>
    </row>
    <row r="47" spans="1:10" x14ac:dyDescent="0.25">
      <c r="A47" t="s">
        <v>101</v>
      </c>
      <c r="B47">
        <v>46130</v>
      </c>
      <c r="C47">
        <v>0.51502814089372206</v>
      </c>
      <c r="D47" t="s">
        <v>250</v>
      </c>
      <c r="E47" t="s">
        <v>627</v>
      </c>
      <c r="F47" t="s">
        <v>594</v>
      </c>
      <c r="G47">
        <v>3</v>
      </c>
      <c r="H47">
        <v>2</v>
      </c>
      <c r="I47">
        <v>2</v>
      </c>
      <c r="J47" t="s">
        <v>549</v>
      </c>
    </row>
    <row r="48" spans="1:10" x14ac:dyDescent="0.25">
      <c r="A48" t="s">
        <v>103</v>
      </c>
      <c r="B48">
        <v>46023</v>
      </c>
      <c r="C48">
        <v>8.7574645831088982E-2</v>
      </c>
      <c r="D48" t="s">
        <v>274</v>
      </c>
      <c r="E48" t="s">
        <v>540</v>
      </c>
      <c r="F48" t="s">
        <v>586</v>
      </c>
      <c r="G48">
        <v>1</v>
      </c>
      <c r="H48">
        <v>3</v>
      </c>
      <c r="I48">
        <v>2</v>
      </c>
      <c r="J48" t="s">
        <v>551</v>
      </c>
    </row>
    <row r="49" spans="1:10" x14ac:dyDescent="0.25">
      <c r="A49" t="s">
        <v>105</v>
      </c>
      <c r="B49">
        <v>46066</v>
      </c>
      <c r="C49">
        <v>0.3235400835765514</v>
      </c>
      <c r="D49" t="s">
        <v>285</v>
      </c>
      <c r="E49" t="s">
        <v>13</v>
      </c>
      <c r="F49" t="s">
        <v>586</v>
      </c>
      <c r="G49">
        <v>1</v>
      </c>
      <c r="H49">
        <v>2</v>
      </c>
      <c r="I49">
        <v>0</v>
      </c>
      <c r="J49" t="s">
        <v>553</v>
      </c>
    </row>
    <row r="50" spans="1:10" x14ac:dyDescent="0.25">
      <c r="A50" t="s">
        <v>107</v>
      </c>
      <c r="B50">
        <v>46099</v>
      </c>
      <c r="C50">
        <v>0.28899609308415997</v>
      </c>
      <c r="D50" t="s">
        <v>265</v>
      </c>
      <c r="E50" t="s">
        <v>13</v>
      </c>
      <c r="F50" t="s">
        <v>596</v>
      </c>
      <c r="G50">
        <v>3</v>
      </c>
      <c r="H50">
        <v>5</v>
      </c>
      <c r="I50">
        <v>0</v>
      </c>
      <c r="J50" t="s">
        <v>551</v>
      </c>
    </row>
    <row r="51" spans="1:10" x14ac:dyDescent="0.25">
      <c r="A51" t="s">
        <v>358</v>
      </c>
      <c r="B51">
        <v>46059</v>
      </c>
      <c r="C51">
        <v>0.62766494664760597</v>
      </c>
      <c r="D51" t="s">
        <v>84</v>
      </c>
      <c r="E51" t="s">
        <v>545</v>
      </c>
      <c r="F51" t="s">
        <v>588</v>
      </c>
      <c r="G51">
        <v>3</v>
      </c>
      <c r="H51">
        <v>4</v>
      </c>
      <c r="I51">
        <v>1</v>
      </c>
      <c r="J51" t="s">
        <v>551</v>
      </c>
    </row>
    <row r="52" spans="1:10" x14ac:dyDescent="0.25">
      <c r="A52" t="s">
        <v>178</v>
      </c>
      <c r="B52">
        <v>46068</v>
      </c>
      <c r="C52">
        <v>0.77252978072740341</v>
      </c>
      <c r="D52" t="s">
        <v>238</v>
      </c>
      <c r="E52" t="s">
        <v>18</v>
      </c>
      <c r="F52" t="s">
        <v>588</v>
      </c>
      <c r="G52">
        <v>2</v>
      </c>
      <c r="H52">
        <v>3</v>
      </c>
      <c r="I52">
        <v>0</v>
      </c>
      <c r="J52" t="s">
        <v>549</v>
      </c>
    </row>
    <row r="53" spans="1:10" x14ac:dyDescent="0.25">
      <c r="A53" t="s">
        <v>364</v>
      </c>
      <c r="B53">
        <v>46213</v>
      </c>
      <c r="C53">
        <v>0.73941226385419123</v>
      </c>
      <c r="D53" t="s">
        <v>82</v>
      </c>
      <c r="E53" t="s">
        <v>18</v>
      </c>
      <c r="F53" t="s">
        <v>588</v>
      </c>
      <c r="G53">
        <v>3</v>
      </c>
      <c r="H53">
        <v>2</v>
      </c>
      <c r="I53">
        <v>1</v>
      </c>
      <c r="J53" t="s">
        <v>555</v>
      </c>
    </row>
    <row r="54" spans="1:10" x14ac:dyDescent="0.25">
      <c r="A54" t="s">
        <v>180</v>
      </c>
      <c r="B54">
        <v>46184</v>
      </c>
      <c r="C54">
        <v>0.87182794080202242</v>
      </c>
      <c r="D54" t="s">
        <v>58</v>
      </c>
      <c r="E54" t="s">
        <v>540</v>
      </c>
      <c r="F54" t="s">
        <v>588</v>
      </c>
      <c r="G54">
        <v>2</v>
      </c>
      <c r="H54">
        <v>2</v>
      </c>
      <c r="I54">
        <v>2</v>
      </c>
      <c r="J54" t="s">
        <v>559</v>
      </c>
    </row>
    <row r="55" spans="1:10" x14ac:dyDescent="0.25">
      <c r="A55" t="s">
        <v>181</v>
      </c>
      <c r="B55">
        <v>46131</v>
      </c>
      <c r="C55">
        <v>0.5851734543571403</v>
      </c>
      <c r="D55" t="s">
        <v>80</v>
      </c>
      <c r="E55" t="s">
        <v>13</v>
      </c>
      <c r="F55" t="s">
        <v>586</v>
      </c>
      <c r="G55">
        <v>3</v>
      </c>
      <c r="H55">
        <v>3</v>
      </c>
      <c r="I55">
        <v>0</v>
      </c>
      <c r="J55" t="s">
        <v>559</v>
      </c>
    </row>
    <row r="56" spans="1:10" x14ac:dyDescent="0.25">
      <c r="A56" t="s">
        <v>182</v>
      </c>
      <c r="B56">
        <v>46216</v>
      </c>
      <c r="C56">
        <v>0.55538781172350526</v>
      </c>
      <c r="D56" t="s">
        <v>22</v>
      </c>
      <c r="E56" t="s">
        <v>18</v>
      </c>
      <c r="F56" t="s">
        <v>592</v>
      </c>
      <c r="G56">
        <v>1</v>
      </c>
      <c r="H56">
        <v>1</v>
      </c>
      <c r="I56">
        <v>0</v>
      </c>
      <c r="J56" t="s">
        <v>555</v>
      </c>
    </row>
    <row r="57" spans="1:10" x14ac:dyDescent="0.25">
      <c r="A57" t="s">
        <v>183</v>
      </c>
      <c r="B57">
        <v>46095</v>
      </c>
      <c r="C57">
        <v>0.29275913663659503</v>
      </c>
      <c r="D57" t="s">
        <v>249</v>
      </c>
      <c r="E57" t="s">
        <v>13</v>
      </c>
      <c r="F57" t="s">
        <v>598</v>
      </c>
      <c r="G57">
        <v>3</v>
      </c>
      <c r="H57">
        <v>5</v>
      </c>
      <c r="I57">
        <v>2</v>
      </c>
      <c r="J57" t="s">
        <v>553</v>
      </c>
    </row>
    <row r="58" spans="1:10" x14ac:dyDescent="0.25">
      <c r="A58" t="s">
        <v>184</v>
      </c>
      <c r="B58">
        <v>46172</v>
      </c>
      <c r="C58">
        <v>0.77844796497476043</v>
      </c>
      <c r="D58" t="s">
        <v>17</v>
      </c>
      <c r="E58" t="s">
        <v>18</v>
      </c>
      <c r="F58" t="s">
        <v>598</v>
      </c>
      <c r="G58">
        <v>3</v>
      </c>
      <c r="H58">
        <v>2</v>
      </c>
      <c r="I58">
        <v>1</v>
      </c>
      <c r="J58" t="s">
        <v>551</v>
      </c>
    </row>
    <row r="59" spans="1:10" x14ac:dyDescent="0.25">
      <c r="A59" t="s">
        <v>185</v>
      </c>
      <c r="B59">
        <v>46105</v>
      </c>
      <c r="C59">
        <v>7.5139629091970583E-2</v>
      </c>
      <c r="D59" t="s">
        <v>102</v>
      </c>
      <c r="E59" t="s">
        <v>18</v>
      </c>
      <c r="F59" t="s">
        <v>586</v>
      </c>
      <c r="G59">
        <v>3</v>
      </c>
      <c r="H59">
        <v>2</v>
      </c>
      <c r="I59">
        <v>2</v>
      </c>
      <c r="J59" t="s">
        <v>553</v>
      </c>
    </row>
    <row r="60" spans="1:10" x14ac:dyDescent="0.25">
      <c r="A60" t="s">
        <v>186</v>
      </c>
      <c r="B60">
        <v>46052</v>
      </c>
      <c r="C60">
        <v>0.66608253064328493</v>
      </c>
      <c r="D60" t="s">
        <v>100</v>
      </c>
      <c r="E60" t="s">
        <v>13</v>
      </c>
      <c r="F60" t="s">
        <v>596</v>
      </c>
      <c r="G60">
        <v>3</v>
      </c>
      <c r="H60">
        <v>1</v>
      </c>
      <c r="I60">
        <v>2</v>
      </c>
      <c r="J60" t="s">
        <v>559</v>
      </c>
    </row>
    <row r="61" spans="1:10" x14ac:dyDescent="0.25">
      <c r="A61" t="s">
        <v>411</v>
      </c>
      <c r="B61">
        <v>46208</v>
      </c>
      <c r="C61">
        <v>0.77447286456818598</v>
      </c>
      <c r="D61" t="s">
        <v>278</v>
      </c>
      <c r="E61" t="s">
        <v>627</v>
      </c>
      <c r="F61" t="s">
        <v>588</v>
      </c>
      <c r="G61">
        <v>3</v>
      </c>
      <c r="H61">
        <v>3</v>
      </c>
      <c r="I61">
        <v>2</v>
      </c>
      <c r="J61" t="s">
        <v>551</v>
      </c>
    </row>
    <row r="62" spans="1:10" x14ac:dyDescent="0.25">
      <c r="A62" t="s">
        <v>188</v>
      </c>
      <c r="B62">
        <v>46049</v>
      </c>
      <c r="C62">
        <v>9.4108044476820529E-2</v>
      </c>
      <c r="D62" t="s">
        <v>66</v>
      </c>
      <c r="E62" t="s">
        <v>540</v>
      </c>
      <c r="F62" t="s">
        <v>600</v>
      </c>
      <c r="G62">
        <v>1</v>
      </c>
      <c r="H62">
        <v>2</v>
      </c>
      <c r="I62">
        <v>2</v>
      </c>
      <c r="J62" t="s">
        <v>549</v>
      </c>
    </row>
    <row r="63" spans="1:10" x14ac:dyDescent="0.25">
      <c r="A63" t="s">
        <v>189</v>
      </c>
      <c r="B63">
        <v>46091</v>
      </c>
      <c r="C63">
        <v>0.62970874161135015</v>
      </c>
      <c r="D63" t="s">
        <v>267</v>
      </c>
      <c r="E63" t="s">
        <v>540</v>
      </c>
      <c r="F63" t="s">
        <v>586</v>
      </c>
      <c r="G63">
        <v>1</v>
      </c>
      <c r="H63">
        <v>2</v>
      </c>
      <c r="I63">
        <v>0</v>
      </c>
      <c r="J63" t="s">
        <v>551</v>
      </c>
    </row>
    <row r="64" spans="1:10" x14ac:dyDescent="0.25">
      <c r="A64" t="s">
        <v>190</v>
      </c>
      <c r="B64">
        <v>46066</v>
      </c>
      <c r="C64">
        <v>0.29123438085867404</v>
      </c>
      <c r="D64" t="s">
        <v>104</v>
      </c>
      <c r="E64" t="s">
        <v>627</v>
      </c>
      <c r="F64" t="s">
        <v>590</v>
      </c>
      <c r="G64">
        <v>3</v>
      </c>
      <c r="H64">
        <v>2</v>
      </c>
      <c r="I64">
        <v>2</v>
      </c>
      <c r="J64" t="s">
        <v>555</v>
      </c>
    </row>
    <row r="65" spans="1:10" x14ac:dyDescent="0.25">
      <c r="A65" t="s">
        <v>191</v>
      </c>
      <c r="B65">
        <v>46097</v>
      </c>
      <c r="C65">
        <v>0.21655807819956874</v>
      </c>
      <c r="D65" t="s">
        <v>263</v>
      </c>
      <c r="E65" t="s">
        <v>13</v>
      </c>
      <c r="F65" t="s">
        <v>590</v>
      </c>
      <c r="G65">
        <v>3</v>
      </c>
      <c r="H65">
        <v>4</v>
      </c>
      <c r="I65">
        <v>2</v>
      </c>
      <c r="J65" t="s">
        <v>555</v>
      </c>
    </row>
    <row r="66" spans="1:10" x14ac:dyDescent="0.25">
      <c r="A66" t="s">
        <v>192</v>
      </c>
      <c r="B66">
        <v>46175</v>
      </c>
      <c r="C66">
        <v>0.23610002674800568</v>
      </c>
      <c r="D66" t="s">
        <v>272</v>
      </c>
      <c r="E66" t="s">
        <v>627</v>
      </c>
      <c r="F66" t="s">
        <v>596</v>
      </c>
      <c r="G66">
        <v>2</v>
      </c>
      <c r="H66">
        <v>1</v>
      </c>
      <c r="I66">
        <v>1</v>
      </c>
      <c r="J66" t="s">
        <v>555</v>
      </c>
    </row>
    <row r="67" spans="1:10" x14ac:dyDescent="0.25">
      <c r="A67" t="s">
        <v>193</v>
      </c>
      <c r="B67">
        <v>46025</v>
      </c>
      <c r="C67">
        <v>0.53366293451582614</v>
      </c>
      <c r="D67" t="s">
        <v>249</v>
      </c>
      <c r="E67" t="s">
        <v>13</v>
      </c>
      <c r="F67" t="s">
        <v>592</v>
      </c>
      <c r="G67">
        <v>2</v>
      </c>
      <c r="H67">
        <v>1</v>
      </c>
      <c r="I67">
        <v>1</v>
      </c>
      <c r="J67" t="s">
        <v>559</v>
      </c>
    </row>
    <row r="68" spans="1:10" x14ac:dyDescent="0.25">
      <c r="A68" t="s">
        <v>194</v>
      </c>
      <c r="B68">
        <v>46202</v>
      </c>
      <c r="C68">
        <v>0.23296447896430028</v>
      </c>
      <c r="D68" t="s">
        <v>34</v>
      </c>
      <c r="E68" t="s">
        <v>540</v>
      </c>
      <c r="F68" t="s">
        <v>590</v>
      </c>
      <c r="G68">
        <v>2</v>
      </c>
      <c r="H68">
        <v>5</v>
      </c>
      <c r="I68">
        <v>2</v>
      </c>
      <c r="J68" t="s">
        <v>559</v>
      </c>
    </row>
    <row r="69" spans="1:10" x14ac:dyDescent="0.25">
      <c r="A69" t="s">
        <v>195</v>
      </c>
      <c r="B69">
        <v>46076</v>
      </c>
      <c r="C69">
        <v>0.10548972010166358</v>
      </c>
      <c r="D69" t="s">
        <v>285</v>
      </c>
      <c r="E69" t="s">
        <v>540</v>
      </c>
      <c r="F69" t="s">
        <v>588</v>
      </c>
      <c r="G69">
        <v>1</v>
      </c>
      <c r="H69">
        <v>3</v>
      </c>
      <c r="I69">
        <v>0</v>
      </c>
      <c r="J69" t="s">
        <v>553</v>
      </c>
    </row>
    <row r="70" spans="1:10" x14ac:dyDescent="0.25">
      <c r="A70" t="s">
        <v>196</v>
      </c>
      <c r="B70">
        <v>46030</v>
      </c>
      <c r="C70">
        <v>0.47665178032615463</v>
      </c>
      <c r="D70" t="s">
        <v>246</v>
      </c>
      <c r="E70" t="s">
        <v>18</v>
      </c>
      <c r="F70" t="s">
        <v>590</v>
      </c>
      <c r="G70">
        <v>1</v>
      </c>
      <c r="H70">
        <v>1</v>
      </c>
      <c r="I70">
        <v>0</v>
      </c>
      <c r="J70" t="s">
        <v>559</v>
      </c>
    </row>
    <row r="71" spans="1:10" x14ac:dyDescent="0.25">
      <c r="A71" t="s">
        <v>197</v>
      </c>
      <c r="B71">
        <v>46216</v>
      </c>
      <c r="C71">
        <v>0.859597270036214</v>
      </c>
      <c r="D71" t="s">
        <v>60</v>
      </c>
      <c r="E71" t="s">
        <v>13</v>
      </c>
      <c r="F71" t="s">
        <v>596</v>
      </c>
      <c r="G71">
        <v>3</v>
      </c>
      <c r="H71">
        <v>1</v>
      </c>
      <c r="I71">
        <v>1</v>
      </c>
      <c r="J71" t="s">
        <v>551</v>
      </c>
    </row>
    <row r="72" spans="1:10" x14ac:dyDescent="0.25">
      <c r="A72" t="s">
        <v>198</v>
      </c>
      <c r="B72">
        <v>46095</v>
      </c>
      <c r="C72">
        <v>0.45703731222323252</v>
      </c>
      <c r="D72" t="s">
        <v>82</v>
      </c>
      <c r="E72" t="s">
        <v>545</v>
      </c>
      <c r="F72" t="s">
        <v>594</v>
      </c>
      <c r="G72">
        <v>1</v>
      </c>
      <c r="H72">
        <v>2</v>
      </c>
      <c r="I72">
        <v>0</v>
      </c>
      <c r="J72" t="s">
        <v>553</v>
      </c>
    </row>
    <row r="73" spans="1:10" x14ac:dyDescent="0.25">
      <c r="A73" t="s">
        <v>416</v>
      </c>
      <c r="B73">
        <v>46112</v>
      </c>
      <c r="C73">
        <v>0.5306724716467851</v>
      </c>
      <c r="D73" t="s">
        <v>66</v>
      </c>
      <c r="E73" t="s">
        <v>18</v>
      </c>
      <c r="F73" t="s">
        <v>586</v>
      </c>
      <c r="G73">
        <v>3</v>
      </c>
      <c r="H73">
        <v>5</v>
      </c>
      <c r="I73">
        <v>1</v>
      </c>
      <c r="J73" t="s">
        <v>559</v>
      </c>
    </row>
    <row r="74" spans="1:10" x14ac:dyDescent="0.25">
      <c r="A74" t="s">
        <v>200</v>
      </c>
      <c r="B74">
        <v>46189</v>
      </c>
      <c r="C74">
        <v>0.91695825557750077</v>
      </c>
      <c r="D74" t="s">
        <v>259</v>
      </c>
      <c r="E74" t="s">
        <v>627</v>
      </c>
      <c r="F74" t="s">
        <v>586</v>
      </c>
      <c r="G74">
        <v>2</v>
      </c>
      <c r="H74">
        <v>4</v>
      </c>
      <c r="I74">
        <v>2</v>
      </c>
      <c r="J74" t="s">
        <v>559</v>
      </c>
    </row>
    <row r="75" spans="1:10" x14ac:dyDescent="0.25">
      <c r="A75" t="s">
        <v>418</v>
      </c>
      <c r="B75">
        <v>46138</v>
      </c>
      <c r="C75">
        <v>0.12398344939707717</v>
      </c>
      <c r="D75" t="s">
        <v>56</v>
      </c>
      <c r="E75" t="s">
        <v>13</v>
      </c>
      <c r="F75" t="s">
        <v>596</v>
      </c>
      <c r="G75">
        <v>3</v>
      </c>
      <c r="H75">
        <v>5</v>
      </c>
      <c r="I75">
        <v>0</v>
      </c>
      <c r="J75" t="s">
        <v>557</v>
      </c>
    </row>
    <row r="76" spans="1:10" x14ac:dyDescent="0.25">
      <c r="A76" t="s">
        <v>202</v>
      </c>
      <c r="B76">
        <v>46185</v>
      </c>
      <c r="C76">
        <v>0.43368335166458361</v>
      </c>
      <c r="D76" t="s">
        <v>255</v>
      </c>
      <c r="E76" t="s">
        <v>545</v>
      </c>
      <c r="F76" t="s">
        <v>588</v>
      </c>
      <c r="G76">
        <v>3</v>
      </c>
      <c r="H76">
        <v>2</v>
      </c>
      <c r="I76">
        <v>1</v>
      </c>
      <c r="J76" t="s">
        <v>555</v>
      </c>
    </row>
    <row r="77" spans="1:10" x14ac:dyDescent="0.25">
      <c r="A77" t="s">
        <v>203</v>
      </c>
      <c r="B77">
        <v>46211</v>
      </c>
      <c r="C77">
        <v>0.84552381885123118</v>
      </c>
      <c r="D77" t="s">
        <v>241</v>
      </c>
      <c r="E77" t="s">
        <v>540</v>
      </c>
      <c r="F77" t="s">
        <v>596</v>
      </c>
      <c r="G77">
        <v>2</v>
      </c>
      <c r="H77">
        <v>2</v>
      </c>
      <c r="I77">
        <v>0</v>
      </c>
      <c r="J77" t="s">
        <v>551</v>
      </c>
    </row>
    <row r="78" spans="1:10" x14ac:dyDescent="0.25">
      <c r="A78" t="s">
        <v>476</v>
      </c>
      <c r="B78">
        <v>46206</v>
      </c>
      <c r="C78">
        <v>0.40018263150829725</v>
      </c>
      <c r="D78" t="s">
        <v>46</v>
      </c>
      <c r="E78" t="s">
        <v>13</v>
      </c>
      <c r="F78" t="s">
        <v>596</v>
      </c>
      <c r="G78">
        <v>3</v>
      </c>
      <c r="H78">
        <v>4</v>
      </c>
      <c r="I78">
        <v>0</v>
      </c>
      <c r="J78" t="s">
        <v>551</v>
      </c>
    </row>
    <row r="79" spans="1:10" x14ac:dyDescent="0.25">
      <c r="A79" t="s">
        <v>205</v>
      </c>
      <c r="B79">
        <v>46114</v>
      </c>
      <c r="C79">
        <v>0.25516772021764655</v>
      </c>
      <c r="D79" t="s">
        <v>287</v>
      </c>
      <c r="E79" t="s">
        <v>540</v>
      </c>
      <c r="F79" t="s">
        <v>586</v>
      </c>
      <c r="G79">
        <v>3</v>
      </c>
      <c r="H79">
        <v>5</v>
      </c>
      <c r="I79">
        <v>0</v>
      </c>
      <c r="J79" t="s">
        <v>553</v>
      </c>
    </row>
    <row r="80" spans="1:10" x14ac:dyDescent="0.25">
      <c r="A80" t="s">
        <v>206</v>
      </c>
      <c r="B80">
        <v>46115</v>
      </c>
      <c r="C80">
        <v>0.3053226441656276</v>
      </c>
      <c r="D80" t="s">
        <v>272</v>
      </c>
      <c r="E80" t="s">
        <v>13</v>
      </c>
      <c r="F80" t="s">
        <v>596</v>
      </c>
      <c r="G80">
        <v>2</v>
      </c>
      <c r="H80">
        <v>5</v>
      </c>
      <c r="I80">
        <v>0</v>
      </c>
      <c r="J80" t="s">
        <v>557</v>
      </c>
    </row>
    <row r="81" spans="1:10" x14ac:dyDescent="0.25">
      <c r="A81" t="s">
        <v>207</v>
      </c>
      <c r="B81">
        <v>46067</v>
      </c>
      <c r="C81">
        <v>0.88676838502246103</v>
      </c>
      <c r="D81" t="s">
        <v>70</v>
      </c>
      <c r="E81" t="s">
        <v>627</v>
      </c>
      <c r="F81" t="s">
        <v>596</v>
      </c>
      <c r="G81">
        <v>2</v>
      </c>
      <c r="H81">
        <v>5</v>
      </c>
      <c r="I81">
        <v>0</v>
      </c>
      <c r="J81" t="s">
        <v>559</v>
      </c>
    </row>
    <row r="82" spans="1:10" x14ac:dyDescent="0.25">
      <c r="A82" t="s">
        <v>208</v>
      </c>
      <c r="B82">
        <v>46129</v>
      </c>
      <c r="C82">
        <v>0.66648045955633939</v>
      </c>
      <c r="D82" t="s">
        <v>286</v>
      </c>
      <c r="E82" t="s">
        <v>627</v>
      </c>
      <c r="F82" t="s">
        <v>592</v>
      </c>
      <c r="G82">
        <v>2</v>
      </c>
      <c r="H82">
        <v>2</v>
      </c>
      <c r="I82">
        <v>1</v>
      </c>
      <c r="J82" t="s">
        <v>559</v>
      </c>
    </row>
    <row r="83" spans="1:10" x14ac:dyDescent="0.25">
      <c r="A83" t="s">
        <v>209</v>
      </c>
      <c r="B83">
        <v>46076</v>
      </c>
      <c r="C83">
        <v>3.2958484501572793E-2</v>
      </c>
      <c r="D83" t="s">
        <v>261</v>
      </c>
      <c r="E83" t="s">
        <v>545</v>
      </c>
      <c r="F83" t="s">
        <v>588</v>
      </c>
      <c r="G83">
        <v>1</v>
      </c>
      <c r="H83">
        <v>2</v>
      </c>
      <c r="I83">
        <v>2</v>
      </c>
      <c r="J83" t="s">
        <v>555</v>
      </c>
    </row>
    <row r="84" spans="1:10" x14ac:dyDescent="0.25">
      <c r="A84" t="s">
        <v>210</v>
      </c>
      <c r="B84">
        <v>46066</v>
      </c>
      <c r="C84">
        <v>0.57620361798613551</v>
      </c>
      <c r="D84" t="s">
        <v>46</v>
      </c>
      <c r="E84" t="s">
        <v>18</v>
      </c>
      <c r="F84" t="s">
        <v>598</v>
      </c>
      <c r="G84">
        <v>2</v>
      </c>
      <c r="H84">
        <v>1</v>
      </c>
      <c r="I84">
        <v>2</v>
      </c>
      <c r="J84" t="s">
        <v>551</v>
      </c>
    </row>
    <row r="85" spans="1:10" x14ac:dyDescent="0.25">
      <c r="A85" t="s">
        <v>211</v>
      </c>
      <c r="B85">
        <v>46139</v>
      </c>
      <c r="C85">
        <v>0.41342304342085001</v>
      </c>
      <c r="D85" t="s">
        <v>28</v>
      </c>
      <c r="E85" t="s">
        <v>627</v>
      </c>
      <c r="F85" t="s">
        <v>590</v>
      </c>
      <c r="G85">
        <v>2</v>
      </c>
      <c r="H85">
        <v>2</v>
      </c>
      <c r="I85">
        <v>0</v>
      </c>
      <c r="J85" t="s">
        <v>553</v>
      </c>
    </row>
    <row r="86" spans="1:10" x14ac:dyDescent="0.25">
      <c r="A86" t="s">
        <v>212</v>
      </c>
      <c r="B86">
        <v>46106</v>
      </c>
      <c r="C86">
        <v>0.96618173224819681</v>
      </c>
      <c r="D86" t="s">
        <v>256</v>
      </c>
      <c r="E86" t="s">
        <v>545</v>
      </c>
      <c r="F86" t="s">
        <v>600</v>
      </c>
      <c r="G86">
        <v>3</v>
      </c>
      <c r="H86">
        <v>2</v>
      </c>
      <c r="I86">
        <v>0</v>
      </c>
      <c r="J86" t="s">
        <v>551</v>
      </c>
    </row>
    <row r="87" spans="1:10" x14ac:dyDescent="0.25">
      <c r="A87" t="s">
        <v>213</v>
      </c>
      <c r="B87">
        <v>46225</v>
      </c>
      <c r="C87">
        <v>9.0956919298882943E-2</v>
      </c>
      <c r="D87" t="s">
        <v>281</v>
      </c>
      <c r="E87" t="s">
        <v>545</v>
      </c>
      <c r="F87" t="s">
        <v>594</v>
      </c>
      <c r="G87">
        <v>1</v>
      </c>
      <c r="H87">
        <v>4</v>
      </c>
      <c r="I87">
        <v>0</v>
      </c>
      <c r="J87" t="s">
        <v>551</v>
      </c>
    </row>
    <row r="88" spans="1:10" x14ac:dyDescent="0.25">
      <c r="A88" t="s">
        <v>214</v>
      </c>
      <c r="B88">
        <v>46068</v>
      </c>
      <c r="C88">
        <v>0.84148584172832297</v>
      </c>
      <c r="D88" t="s">
        <v>273</v>
      </c>
      <c r="E88" t="s">
        <v>545</v>
      </c>
      <c r="F88" t="s">
        <v>586</v>
      </c>
      <c r="G88">
        <v>1</v>
      </c>
      <c r="H88">
        <v>4</v>
      </c>
      <c r="I88">
        <v>0</v>
      </c>
      <c r="J88" t="s">
        <v>553</v>
      </c>
    </row>
    <row r="89" spans="1:10" x14ac:dyDescent="0.25">
      <c r="A89" t="s">
        <v>215</v>
      </c>
      <c r="B89">
        <v>46173</v>
      </c>
      <c r="C89">
        <v>0.4709697097263299</v>
      </c>
      <c r="D89" t="s">
        <v>104</v>
      </c>
      <c r="E89" t="s">
        <v>627</v>
      </c>
      <c r="F89" t="s">
        <v>590</v>
      </c>
      <c r="G89">
        <v>2</v>
      </c>
      <c r="H89">
        <v>5</v>
      </c>
      <c r="I89">
        <v>2</v>
      </c>
      <c r="J89" t="s">
        <v>555</v>
      </c>
    </row>
    <row r="90" spans="1:10" x14ac:dyDescent="0.25">
      <c r="A90" t="s">
        <v>216</v>
      </c>
      <c r="B90">
        <v>46188</v>
      </c>
      <c r="C90">
        <v>0.5887136820862473</v>
      </c>
      <c r="D90" t="s">
        <v>286</v>
      </c>
      <c r="E90" t="s">
        <v>627</v>
      </c>
      <c r="F90" t="s">
        <v>588</v>
      </c>
      <c r="G90">
        <v>2</v>
      </c>
      <c r="H90">
        <v>5</v>
      </c>
      <c r="I90">
        <v>2</v>
      </c>
      <c r="J90" t="s">
        <v>557</v>
      </c>
    </row>
    <row r="91" spans="1:10" x14ac:dyDescent="0.25">
      <c r="A91" t="s">
        <v>217</v>
      </c>
      <c r="B91">
        <v>46203</v>
      </c>
      <c r="C91">
        <v>0.57928384477809447</v>
      </c>
      <c r="D91" t="s">
        <v>90</v>
      </c>
      <c r="E91" t="s">
        <v>627</v>
      </c>
      <c r="F91" t="s">
        <v>596</v>
      </c>
      <c r="G91">
        <v>3</v>
      </c>
      <c r="H91">
        <v>1</v>
      </c>
      <c r="I91">
        <v>0</v>
      </c>
      <c r="J91" t="s">
        <v>557</v>
      </c>
    </row>
    <row r="92" spans="1:10" x14ac:dyDescent="0.25">
      <c r="A92" t="s">
        <v>218</v>
      </c>
      <c r="B92">
        <v>46135</v>
      </c>
      <c r="C92">
        <v>0.34794457374732657</v>
      </c>
      <c r="D92" t="s">
        <v>96</v>
      </c>
      <c r="E92" t="s">
        <v>545</v>
      </c>
      <c r="F92" t="s">
        <v>600</v>
      </c>
      <c r="G92">
        <v>3</v>
      </c>
      <c r="H92">
        <v>3</v>
      </c>
      <c r="I92">
        <v>0</v>
      </c>
      <c r="J92" t="s">
        <v>557</v>
      </c>
    </row>
    <row r="93" spans="1:10" x14ac:dyDescent="0.25">
      <c r="A93" t="s">
        <v>219</v>
      </c>
      <c r="B93">
        <v>46039</v>
      </c>
      <c r="C93">
        <v>9.0603967327833601E-2</v>
      </c>
      <c r="D93" t="s">
        <v>72</v>
      </c>
      <c r="E93" t="s">
        <v>627</v>
      </c>
      <c r="F93" t="s">
        <v>596</v>
      </c>
      <c r="G93">
        <v>2</v>
      </c>
      <c r="H93">
        <v>4</v>
      </c>
      <c r="I93">
        <v>1</v>
      </c>
      <c r="J93" t="s">
        <v>553</v>
      </c>
    </row>
    <row r="94" spans="1:10" x14ac:dyDescent="0.25">
      <c r="A94" t="s">
        <v>220</v>
      </c>
      <c r="B94">
        <v>46030</v>
      </c>
      <c r="C94">
        <v>0.52308989000682482</v>
      </c>
      <c r="D94" t="s">
        <v>26</v>
      </c>
      <c r="E94" t="s">
        <v>627</v>
      </c>
      <c r="F94" t="s">
        <v>588</v>
      </c>
      <c r="G94">
        <v>3</v>
      </c>
      <c r="H94">
        <v>2</v>
      </c>
      <c r="I94">
        <v>2</v>
      </c>
      <c r="J94" t="s">
        <v>551</v>
      </c>
    </row>
    <row r="95" spans="1:10" x14ac:dyDescent="0.25">
      <c r="A95" t="s">
        <v>221</v>
      </c>
      <c r="B95">
        <v>46223</v>
      </c>
      <c r="C95">
        <v>0.87598267054676704</v>
      </c>
      <c r="D95" t="s">
        <v>42</v>
      </c>
      <c r="E95" t="s">
        <v>545</v>
      </c>
      <c r="F95" t="s">
        <v>600</v>
      </c>
      <c r="G95">
        <v>1</v>
      </c>
      <c r="H95">
        <v>5</v>
      </c>
      <c r="I95">
        <v>1</v>
      </c>
      <c r="J95" t="s">
        <v>555</v>
      </c>
    </row>
    <row r="96" spans="1:10" x14ac:dyDescent="0.25">
      <c r="A96" t="s">
        <v>222</v>
      </c>
      <c r="B96">
        <v>46131</v>
      </c>
      <c r="C96">
        <v>0.70795828374249747</v>
      </c>
      <c r="D96" t="s">
        <v>273</v>
      </c>
      <c r="E96" t="s">
        <v>627</v>
      </c>
      <c r="F96" t="s">
        <v>588</v>
      </c>
      <c r="G96">
        <v>1</v>
      </c>
      <c r="H96">
        <v>2</v>
      </c>
      <c r="I96">
        <v>2</v>
      </c>
      <c r="J96" t="s">
        <v>553</v>
      </c>
    </row>
    <row r="97" spans="1:10" x14ac:dyDescent="0.25">
      <c r="A97" t="s">
        <v>223</v>
      </c>
      <c r="B97">
        <v>46052</v>
      </c>
      <c r="C97">
        <v>0.27927297569863119</v>
      </c>
      <c r="D97" t="s">
        <v>40</v>
      </c>
      <c r="E97" t="s">
        <v>540</v>
      </c>
      <c r="F97" t="s">
        <v>596</v>
      </c>
      <c r="G97">
        <v>2</v>
      </c>
      <c r="H97">
        <v>2</v>
      </c>
      <c r="I97">
        <v>1</v>
      </c>
      <c r="J97" t="s">
        <v>555</v>
      </c>
    </row>
    <row r="98" spans="1:10" x14ac:dyDescent="0.25">
      <c r="A98" t="s">
        <v>224</v>
      </c>
      <c r="B98">
        <v>46049</v>
      </c>
      <c r="C98">
        <v>0.54322395091142328</v>
      </c>
      <c r="D98" t="s">
        <v>22</v>
      </c>
      <c r="E98" t="s">
        <v>545</v>
      </c>
      <c r="F98" t="s">
        <v>588</v>
      </c>
      <c r="G98">
        <v>1</v>
      </c>
      <c r="H98">
        <v>1</v>
      </c>
      <c r="I98">
        <v>2</v>
      </c>
      <c r="J98" t="s">
        <v>549</v>
      </c>
    </row>
    <row r="99" spans="1:10" x14ac:dyDescent="0.25">
      <c r="A99" t="s">
        <v>225</v>
      </c>
      <c r="B99">
        <v>46215</v>
      </c>
      <c r="C99">
        <v>0.92242125116432083</v>
      </c>
      <c r="D99" t="s">
        <v>256</v>
      </c>
      <c r="E99" t="s">
        <v>13</v>
      </c>
      <c r="F99" t="s">
        <v>598</v>
      </c>
      <c r="G99">
        <v>3</v>
      </c>
      <c r="H99">
        <v>1</v>
      </c>
      <c r="I99">
        <v>1</v>
      </c>
      <c r="J99" t="s">
        <v>551</v>
      </c>
    </row>
    <row r="100" spans="1:10" x14ac:dyDescent="0.25">
      <c r="A100" t="s">
        <v>226</v>
      </c>
      <c r="B100">
        <v>46092</v>
      </c>
      <c r="C100">
        <v>0.10576697948100877</v>
      </c>
      <c r="D100" t="s">
        <v>48</v>
      </c>
      <c r="E100" t="s">
        <v>18</v>
      </c>
      <c r="F100" t="s">
        <v>596</v>
      </c>
      <c r="G100">
        <v>1</v>
      </c>
      <c r="H100">
        <v>2</v>
      </c>
      <c r="I100">
        <v>1</v>
      </c>
      <c r="J100" t="s">
        <v>557</v>
      </c>
    </row>
    <row r="101" spans="1:10" x14ac:dyDescent="0.25">
      <c r="A101" t="s">
        <v>227</v>
      </c>
      <c r="B101">
        <v>46081</v>
      </c>
      <c r="C101">
        <v>0.18486036189889732</v>
      </c>
      <c r="D101" t="s">
        <v>260</v>
      </c>
      <c r="E101" t="s">
        <v>18</v>
      </c>
      <c r="F101" t="s">
        <v>596</v>
      </c>
      <c r="G101">
        <v>2</v>
      </c>
      <c r="H101">
        <v>3</v>
      </c>
      <c r="I101">
        <v>2</v>
      </c>
      <c r="J101" t="s">
        <v>555</v>
      </c>
    </row>
    <row r="102" spans="1:10" x14ac:dyDescent="0.25">
      <c r="A102" t="s">
        <v>338</v>
      </c>
      <c r="B102">
        <v>46024</v>
      </c>
      <c r="C102">
        <v>0.45999955453632801</v>
      </c>
      <c r="D102" t="s">
        <v>260</v>
      </c>
      <c r="E102" t="s">
        <v>18</v>
      </c>
      <c r="F102" t="s">
        <v>590</v>
      </c>
      <c r="G102">
        <v>1</v>
      </c>
      <c r="H102">
        <v>2</v>
      </c>
      <c r="I102">
        <v>2</v>
      </c>
      <c r="J102" t="s">
        <v>559</v>
      </c>
    </row>
    <row r="103" spans="1:10" x14ac:dyDescent="0.25">
      <c r="A103" t="s">
        <v>339</v>
      </c>
      <c r="B103">
        <v>46078</v>
      </c>
      <c r="C103">
        <v>0.70281039164760317</v>
      </c>
      <c r="D103" t="s">
        <v>285</v>
      </c>
      <c r="E103" t="s">
        <v>13</v>
      </c>
      <c r="F103" t="s">
        <v>592</v>
      </c>
      <c r="G103">
        <v>1</v>
      </c>
      <c r="H103">
        <v>1</v>
      </c>
      <c r="I103">
        <v>2</v>
      </c>
      <c r="J103" t="s">
        <v>557</v>
      </c>
    </row>
    <row r="104" spans="1:10" x14ac:dyDescent="0.25">
      <c r="A104" t="s">
        <v>340</v>
      </c>
      <c r="B104">
        <v>46163</v>
      </c>
      <c r="C104">
        <v>0.96774786816530212</v>
      </c>
      <c r="D104" t="s">
        <v>238</v>
      </c>
      <c r="E104" t="s">
        <v>18</v>
      </c>
      <c r="F104" t="s">
        <v>596</v>
      </c>
      <c r="G104">
        <v>1</v>
      </c>
      <c r="H104">
        <v>2</v>
      </c>
      <c r="I104">
        <v>2</v>
      </c>
      <c r="J104" t="s">
        <v>559</v>
      </c>
    </row>
    <row r="105" spans="1:10" x14ac:dyDescent="0.25">
      <c r="A105" t="s">
        <v>341</v>
      </c>
      <c r="B105">
        <v>46102</v>
      </c>
      <c r="C105">
        <v>0.12067016552625298</v>
      </c>
      <c r="D105" t="s">
        <v>273</v>
      </c>
      <c r="E105" t="s">
        <v>540</v>
      </c>
      <c r="F105" t="s">
        <v>590</v>
      </c>
      <c r="G105">
        <v>3</v>
      </c>
      <c r="H105">
        <v>5</v>
      </c>
      <c r="I105">
        <v>0</v>
      </c>
      <c r="J105" t="s">
        <v>553</v>
      </c>
    </row>
    <row r="106" spans="1:10" x14ac:dyDescent="0.25">
      <c r="A106" t="s">
        <v>342</v>
      </c>
      <c r="B106">
        <v>46048</v>
      </c>
      <c r="C106">
        <v>0.8542889380633254</v>
      </c>
      <c r="D106" t="s">
        <v>286</v>
      </c>
      <c r="E106" t="s">
        <v>545</v>
      </c>
      <c r="F106" t="s">
        <v>600</v>
      </c>
      <c r="G106">
        <v>3</v>
      </c>
      <c r="H106">
        <v>4</v>
      </c>
      <c r="I106">
        <v>1</v>
      </c>
      <c r="J106" t="s">
        <v>551</v>
      </c>
    </row>
    <row r="107" spans="1:10" x14ac:dyDescent="0.25">
      <c r="A107" t="s">
        <v>343</v>
      </c>
      <c r="B107">
        <v>46201</v>
      </c>
      <c r="C107">
        <v>0.50365594416926318</v>
      </c>
      <c r="D107" t="s">
        <v>104</v>
      </c>
      <c r="E107" t="s">
        <v>13</v>
      </c>
      <c r="F107" t="s">
        <v>596</v>
      </c>
      <c r="G107">
        <v>1</v>
      </c>
      <c r="H107">
        <v>3</v>
      </c>
      <c r="I107">
        <v>2</v>
      </c>
      <c r="J107" t="s">
        <v>549</v>
      </c>
    </row>
    <row r="108" spans="1:10" x14ac:dyDescent="0.25">
      <c r="A108" t="s">
        <v>344</v>
      </c>
      <c r="B108">
        <v>46188</v>
      </c>
      <c r="C108">
        <v>0.53633161022806497</v>
      </c>
      <c r="D108" t="s">
        <v>60</v>
      </c>
      <c r="E108" t="s">
        <v>545</v>
      </c>
      <c r="F108" t="s">
        <v>594</v>
      </c>
      <c r="G108">
        <v>2</v>
      </c>
      <c r="H108">
        <v>3</v>
      </c>
      <c r="I108">
        <v>2</v>
      </c>
      <c r="J108" t="s">
        <v>557</v>
      </c>
    </row>
    <row r="109" spans="1:10" x14ac:dyDescent="0.25">
      <c r="A109" t="s">
        <v>345</v>
      </c>
      <c r="B109">
        <v>46152</v>
      </c>
      <c r="C109">
        <v>0.96227333517850078</v>
      </c>
      <c r="D109" t="s">
        <v>66</v>
      </c>
      <c r="E109" t="s">
        <v>627</v>
      </c>
      <c r="F109" t="s">
        <v>592</v>
      </c>
      <c r="G109">
        <v>3</v>
      </c>
      <c r="H109">
        <v>2</v>
      </c>
      <c r="I109">
        <v>2</v>
      </c>
      <c r="J109" t="s">
        <v>551</v>
      </c>
    </row>
    <row r="110" spans="1:10" x14ac:dyDescent="0.25">
      <c r="A110" t="s">
        <v>346</v>
      </c>
      <c r="B110">
        <v>46126</v>
      </c>
      <c r="C110">
        <v>0.40844807940229988</v>
      </c>
      <c r="D110" t="s">
        <v>239</v>
      </c>
      <c r="E110" t="s">
        <v>627</v>
      </c>
      <c r="F110" t="s">
        <v>594</v>
      </c>
      <c r="G110">
        <v>3</v>
      </c>
      <c r="H110">
        <v>2</v>
      </c>
      <c r="I110">
        <v>1</v>
      </c>
      <c r="J110" t="s">
        <v>557</v>
      </c>
    </row>
    <row r="111" spans="1:10" x14ac:dyDescent="0.25">
      <c r="A111" t="s">
        <v>347</v>
      </c>
      <c r="B111">
        <v>46122</v>
      </c>
      <c r="C111">
        <v>0.99626869145658947</v>
      </c>
      <c r="D111" t="s">
        <v>242</v>
      </c>
      <c r="E111" t="s">
        <v>18</v>
      </c>
      <c r="F111" t="s">
        <v>600</v>
      </c>
      <c r="G111">
        <v>2</v>
      </c>
      <c r="H111">
        <v>3</v>
      </c>
      <c r="I111">
        <v>2</v>
      </c>
      <c r="J111" t="s">
        <v>555</v>
      </c>
    </row>
    <row r="112" spans="1:10" x14ac:dyDescent="0.25">
      <c r="A112" t="s">
        <v>348</v>
      </c>
      <c r="B112">
        <v>46025</v>
      </c>
      <c r="C112">
        <v>0.57287294443310366</v>
      </c>
      <c r="D112" t="s">
        <v>42</v>
      </c>
      <c r="E112" t="s">
        <v>540</v>
      </c>
      <c r="F112" t="s">
        <v>586</v>
      </c>
      <c r="G112">
        <v>2</v>
      </c>
      <c r="H112">
        <v>1</v>
      </c>
      <c r="I112">
        <v>0</v>
      </c>
      <c r="J112" t="s">
        <v>551</v>
      </c>
    </row>
    <row r="113" spans="1:10" x14ac:dyDescent="0.25">
      <c r="A113" t="s">
        <v>349</v>
      </c>
      <c r="B113">
        <v>46206</v>
      </c>
      <c r="C113">
        <v>0.99379448915226876</v>
      </c>
      <c r="D113" t="s">
        <v>254</v>
      </c>
      <c r="E113" t="s">
        <v>13</v>
      </c>
      <c r="F113" t="s">
        <v>592</v>
      </c>
      <c r="G113">
        <v>3</v>
      </c>
      <c r="H113">
        <v>4</v>
      </c>
      <c r="I113">
        <v>0</v>
      </c>
      <c r="J113" t="s">
        <v>559</v>
      </c>
    </row>
    <row r="114" spans="1:10" x14ac:dyDescent="0.25">
      <c r="A114" t="s">
        <v>350</v>
      </c>
      <c r="B114">
        <v>46101</v>
      </c>
      <c r="C114">
        <v>0.73258836908444069</v>
      </c>
      <c r="D114" t="s">
        <v>20</v>
      </c>
      <c r="E114" t="s">
        <v>13</v>
      </c>
      <c r="F114" t="s">
        <v>586</v>
      </c>
      <c r="G114">
        <v>3</v>
      </c>
      <c r="H114">
        <v>4</v>
      </c>
      <c r="I114">
        <v>2</v>
      </c>
      <c r="J114" t="s">
        <v>551</v>
      </c>
    </row>
    <row r="115" spans="1:10" x14ac:dyDescent="0.25">
      <c r="A115" t="s">
        <v>504</v>
      </c>
      <c r="B115">
        <v>46150</v>
      </c>
      <c r="C115">
        <v>0.29128161671763009</v>
      </c>
      <c r="D115" t="s">
        <v>74</v>
      </c>
      <c r="E115" t="s">
        <v>627</v>
      </c>
      <c r="F115" t="s">
        <v>598</v>
      </c>
      <c r="G115">
        <v>3</v>
      </c>
      <c r="H115">
        <v>4</v>
      </c>
      <c r="I115">
        <v>2</v>
      </c>
      <c r="J115" t="s">
        <v>549</v>
      </c>
    </row>
    <row r="116" spans="1:10" x14ac:dyDescent="0.25">
      <c r="A116" t="s">
        <v>352</v>
      </c>
      <c r="B116">
        <v>46207</v>
      </c>
      <c r="C116">
        <v>0.84102887865183695</v>
      </c>
      <c r="D116" t="s">
        <v>277</v>
      </c>
      <c r="E116" t="s">
        <v>627</v>
      </c>
      <c r="F116" t="s">
        <v>600</v>
      </c>
      <c r="G116">
        <v>1</v>
      </c>
      <c r="H116">
        <v>5</v>
      </c>
      <c r="I116">
        <v>1</v>
      </c>
      <c r="J116" t="s">
        <v>551</v>
      </c>
    </row>
    <row r="117" spans="1:10" x14ac:dyDescent="0.25">
      <c r="A117" t="s">
        <v>353</v>
      </c>
      <c r="B117">
        <v>46137</v>
      </c>
      <c r="C117">
        <v>0.68644154034043714</v>
      </c>
      <c r="D117" t="s">
        <v>68</v>
      </c>
      <c r="E117" t="s">
        <v>13</v>
      </c>
      <c r="F117" t="s">
        <v>590</v>
      </c>
      <c r="G117">
        <v>2</v>
      </c>
      <c r="H117">
        <v>4</v>
      </c>
      <c r="I117">
        <v>1</v>
      </c>
      <c r="J117" t="s">
        <v>553</v>
      </c>
    </row>
    <row r="118" spans="1:10" x14ac:dyDescent="0.25">
      <c r="A118" t="s">
        <v>354</v>
      </c>
      <c r="B118">
        <v>46181</v>
      </c>
      <c r="C118">
        <v>0.34333885336570213</v>
      </c>
      <c r="D118" t="s">
        <v>243</v>
      </c>
      <c r="E118" t="s">
        <v>545</v>
      </c>
      <c r="F118" t="s">
        <v>590</v>
      </c>
      <c r="G118">
        <v>1</v>
      </c>
      <c r="H118">
        <v>5</v>
      </c>
      <c r="I118">
        <v>0</v>
      </c>
      <c r="J118" t="s">
        <v>557</v>
      </c>
    </row>
    <row r="119" spans="1:10" x14ac:dyDescent="0.25">
      <c r="A119" t="s">
        <v>355</v>
      </c>
      <c r="B119">
        <v>46134</v>
      </c>
      <c r="C119">
        <v>0.92384244592811871</v>
      </c>
      <c r="D119" t="s">
        <v>267</v>
      </c>
      <c r="E119" t="s">
        <v>13</v>
      </c>
      <c r="F119" t="s">
        <v>586</v>
      </c>
      <c r="G119">
        <v>3</v>
      </c>
      <c r="H119">
        <v>1</v>
      </c>
      <c r="I119">
        <v>1</v>
      </c>
      <c r="J119" t="s">
        <v>553</v>
      </c>
    </row>
    <row r="120" spans="1:10" x14ac:dyDescent="0.25">
      <c r="A120" t="s">
        <v>356</v>
      </c>
      <c r="B120">
        <v>46150</v>
      </c>
      <c r="C120">
        <v>0.98012429699445602</v>
      </c>
      <c r="D120" t="s">
        <v>20</v>
      </c>
      <c r="E120" t="s">
        <v>545</v>
      </c>
      <c r="F120" t="s">
        <v>598</v>
      </c>
      <c r="G120">
        <v>3</v>
      </c>
      <c r="H120">
        <v>2</v>
      </c>
      <c r="I120">
        <v>1</v>
      </c>
      <c r="J120" t="s">
        <v>553</v>
      </c>
    </row>
    <row r="121" spans="1:10" x14ac:dyDescent="0.25">
      <c r="A121" t="s">
        <v>357</v>
      </c>
      <c r="B121">
        <v>46204</v>
      </c>
      <c r="C121">
        <v>0.27027272370130162</v>
      </c>
      <c r="D121" t="s">
        <v>262</v>
      </c>
      <c r="E121" t="s">
        <v>540</v>
      </c>
      <c r="F121" t="s">
        <v>588</v>
      </c>
      <c r="G121">
        <v>1</v>
      </c>
      <c r="H121">
        <v>3</v>
      </c>
      <c r="I121">
        <v>1</v>
      </c>
      <c r="J121" t="s">
        <v>551</v>
      </c>
    </row>
    <row r="122" spans="1:10" x14ac:dyDescent="0.25">
      <c r="A122" t="s">
        <v>526</v>
      </c>
      <c r="B122">
        <v>46180</v>
      </c>
      <c r="C122">
        <v>0.85161498732101737</v>
      </c>
      <c r="D122" t="s">
        <v>279</v>
      </c>
      <c r="E122" t="s">
        <v>627</v>
      </c>
      <c r="F122" t="s">
        <v>586</v>
      </c>
      <c r="G122">
        <v>3</v>
      </c>
      <c r="H122">
        <v>3</v>
      </c>
      <c r="I122">
        <v>2</v>
      </c>
      <c r="J122" t="s">
        <v>555</v>
      </c>
    </row>
    <row r="123" spans="1:10" x14ac:dyDescent="0.25">
      <c r="A123" t="s">
        <v>359</v>
      </c>
      <c r="B123">
        <v>46192</v>
      </c>
      <c r="C123">
        <v>0.48798170701497723</v>
      </c>
      <c r="D123" t="s">
        <v>50</v>
      </c>
      <c r="E123" t="s">
        <v>13</v>
      </c>
      <c r="F123" t="s">
        <v>596</v>
      </c>
      <c r="G123">
        <v>1</v>
      </c>
      <c r="H123">
        <v>2</v>
      </c>
      <c r="I123">
        <v>2</v>
      </c>
      <c r="J123" t="s">
        <v>559</v>
      </c>
    </row>
    <row r="124" spans="1:10" x14ac:dyDescent="0.25">
      <c r="A124" t="s">
        <v>360</v>
      </c>
      <c r="B124">
        <v>46170</v>
      </c>
      <c r="C124">
        <v>0.7556689897873119</v>
      </c>
      <c r="D124" t="s">
        <v>271</v>
      </c>
      <c r="E124" t="s">
        <v>18</v>
      </c>
      <c r="F124" t="s">
        <v>590</v>
      </c>
      <c r="G124">
        <v>1</v>
      </c>
      <c r="H124">
        <v>4</v>
      </c>
      <c r="I124">
        <v>0</v>
      </c>
      <c r="J124" t="s">
        <v>551</v>
      </c>
    </row>
    <row r="125" spans="1:10" x14ac:dyDescent="0.25">
      <c r="A125" t="s">
        <v>361</v>
      </c>
      <c r="B125">
        <v>46083</v>
      </c>
      <c r="C125">
        <v>0.37951414291703478</v>
      </c>
      <c r="D125" t="s">
        <v>256</v>
      </c>
      <c r="E125" t="s">
        <v>18</v>
      </c>
      <c r="F125" t="s">
        <v>592</v>
      </c>
      <c r="G125">
        <v>2</v>
      </c>
      <c r="H125">
        <v>1</v>
      </c>
      <c r="I125">
        <v>1</v>
      </c>
      <c r="J125" t="s">
        <v>555</v>
      </c>
    </row>
    <row r="126" spans="1:10" x14ac:dyDescent="0.25">
      <c r="A126" t="s">
        <v>362</v>
      </c>
      <c r="B126">
        <v>46163</v>
      </c>
      <c r="C126">
        <v>0.67345879716314039</v>
      </c>
      <c r="D126" t="s">
        <v>110</v>
      </c>
      <c r="E126" t="s">
        <v>540</v>
      </c>
      <c r="F126" t="s">
        <v>586</v>
      </c>
      <c r="G126">
        <v>2</v>
      </c>
      <c r="H126">
        <v>5</v>
      </c>
      <c r="I126">
        <v>2</v>
      </c>
      <c r="J126" t="s">
        <v>559</v>
      </c>
    </row>
    <row r="127" spans="1:10" x14ac:dyDescent="0.25">
      <c r="A127" t="s">
        <v>363</v>
      </c>
      <c r="B127">
        <v>46150</v>
      </c>
      <c r="C127">
        <v>0.54582350144639535</v>
      </c>
      <c r="D127" t="s">
        <v>88</v>
      </c>
      <c r="E127" t="s">
        <v>545</v>
      </c>
      <c r="F127" t="s">
        <v>596</v>
      </c>
      <c r="G127">
        <v>2</v>
      </c>
      <c r="H127">
        <v>4</v>
      </c>
      <c r="I127">
        <v>0</v>
      </c>
      <c r="J127" t="s">
        <v>555</v>
      </c>
    </row>
    <row r="128" spans="1:10" x14ac:dyDescent="0.25">
      <c r="A128" t="s">
        <v>61</v>
      </c>
      <c r="B128">
        <v>46164</v>
      </c>
      <c r="C128">
        <v>0.68431348990278795</v>
      </c>
      <c r="D128" t="s">
        <v>278</v>
      </c>
      <c r="E128" t="s">
        <v>540</v>
      </c>
      <c r="F128" t="s">
        <v>590</v>
      </c>
      <c r="G128">
        <v>2</v>
      </c>
      <c r="H128">
        <v>3</v>
      </c>
      <c r="I128">
        <v>2</v>
      </c>
      <c r="J128" t="s">
        <v>555</v>
      </c>
    </row>
    <row r="129" spans="1:10" x14ac:dyDescent="0.25">
      <c r="A129" t="s">
        <v>365</v>
      </c>
      <c r="B129">
        <v>46080</v>
      </c>
      <c r="C129">
        <v>0.13829839705583447</v>
      </c>
      <c r="D129" t="s">
        <v>259</v>
      </c>
      <c r="E129" t="s">
        <v>540</v>
      </c>
      <c r="F129" t="s">
        <v>592</v>
      </c>
      <c r="G129">
        <v>1</v>
      </c>
      <c r="H129">
        <v>4</v>
      </c>
      <c r="I129">
        <v>1</v>
      </c>
      <c r="J129" t="s">
        <v>549</v>
      </c>
    </row>
    <row r="130" spans="1:10" x14ac:dyDescent="0.25">
      <c r="A130" t="s">
        <v>366</v>
      </c>
      <c r="B130">
        <v>46108</v>
      </c>
      <c r="C130">
        <v>8.1478026719695396E-2</v>
      </c>
      <c r="D130" t="s">
        <v>46</v>
      </c>
      <c r="E130" t="s">
        <v>545</v>
      </c>
      <c r="F130" t="s">
        <v>596</v>
      </c>
      <c r="G130">
        <v>1</v>
      </c>
      <c r="H130">
        <v>5</v>
      </c>
      <c r="I130">
        <v>2</v>
      </c>
      <c r="J130" t="s">
        <v>551</v>
      </c>
    </row>
    <row r="131" spans="1:10" x14ac:dyDescent="0.25">
      <c r="A131" t="s">
        <v>367</v>
      </c>
      <c r="B131">
        <v>46085</v>
      </c>
      <c r="C131">
        <v>0.17196442479648832</v>
      </c>
      <c r="D131" t="s">
        <v>38</v>
      </c>
      <c r="E131" t="s">
        <v>627</v>
      </c>
      <c r="F131" t="s">
        <v>596</v>
      </c>
      <c r="G131">
        <v>1</v>
      </c>
      <c r="H131">
        <v>4</v>
      </c>
      <c r="I131">
        <v>0</v>
      </c>
      <c r="J131" t="s">
        <v>553</v>
      </c>
    </row>
    <row r="132" spans="1:10" x14ac:dyDescent="0.25">
      <c r="A132" t="s">
        <v>368</v>
      </c>
      <c r="B132">
        <v>46054</v>
      </c>
      <c r="C132">
        <v>5.0716105912121945E-2</v>
      </c>
      <c r="D132" t="s">
        <v>98</v>
      </c>
      <c r="E132" t="s">
        <v>540</v>
      </c>
      <c r="F132" t="s">
        <v>598</v>
      </c>
      <c r="G132">
        <v>3</v>
      </c>
      <c r="H132">
        <v>2</v>
      </c>
      <c r="I132">
        <v>1</v>
      </c>
      <c r="J132" t="s">
        <v>557</v>
      </c>
    </row>
    <row r="133" spans="1:10" x14ac:dyDescent="0.25">
      <c r="A133" t="s">
        <v>369</v>
      </c>
      <c r="B133">
        <v>46115</v>
      </c>
      <c r="C133">
        <v>0.11760264316091873</v>
      </c>
      <c r="D133" t="s">
        <v>261</v>
      </c>
      <c r="E133" t="s">
        <v>13</v>
      </c>
      <c r="F133" t="s">
        <v>594</v>
      </c>
      <c r="G133">
        <v>1</v>
      </c>
      <c r="H133">
        <v>3</v>
      </c>
      <c r="I133">
        <v>0</v>
      </c>
      <c r="J133" t="s">
        <v>555</v>
      </c>
    </row>
    <row r="134" spans="1:10" x14ac:dyDescent="0.25">
      <c r="A134" t="s">
        <v>370</v>
      </c>
      <c r="B134">
        <v>46023</v>
      </c>
      <c r="C134">
        <v>0.78589853457788239</v>
      </c>
      <c r="D134" t="s">
        <v>110</v>
      </c>
      <c r="E134" t="s">
        <v>545</v>
      </c>
      <c r="F134" t="s">
        <v>592</v>
      </c>
      <c r="G134">
        <v>2</v>
      </c>
      <c r="H134">
        <v>2</v>
      </c>
      <c r="I134">
        <v>1</v>
      </c>
      <c r="J134" t="s">
        <v>559</v>
      </c>
    </row>
    <row r="135" spans="1:10" x14ac:dyDescent="0.25">
      <c r="A135" t="s">
        <v>371</v>
      </c>
      <c r="B135">
        <v>46185</v>
      </c>
      <c r="C135">
        <v>0.68679173179140918</v>
      </c>
      <c r="D135" t="s">
        <v>52</v>
      </c>
      <c r="E135" t="s">
        <v>627</v>
      </c>
      <c r="F135" t="s">
        <v>586</v>
      </c>
      <c r="G135">
        <v>2</v>
      </c>
      <c r="H135">
        <v>2</v>
      </c>
      <c r="I135">
        <v>2</v>
      </c>
      <c r="J135" t="s">
        <v>553</v>
      </c>
    </row>
    <row r="136" spans="1:10" x14ac:dyDescent="0.25">
      <c r="A136" t="s">
        <v>372</v>
      </c>
      <c r="B136">
        <v>46078</v>
      </c>
      <c r="C136">
        <v>0.10567792376226492</v>
      </c>
      <c r="D136" t="s">
        <v>251</v>
      </c>
      <c r="E136" t="s">
        <v>18</v>
      </c>
      <c r="F136" t="s">
        <v>592</v>
      </c>
      <c r="G136">
        <v>3</v>
      </c>
      <c r="H136">
        <v>5</v>
      </c>
      <c r="I136">
        <v>2</v>
      </c>
      <c r="J136" t="s">
        <v>555</v>
      </c>
    </row>
    <row r="137" spans="1:10" x14ac:dyDescent="0.25">
      <c r="A137" t="s">
        <v>373</v>
      </c>
      <c r="B137">
        <v>46053</v>
      </c>
      <c r="C137">
        <v>0.10962462377820092</v>
      </c>
      <c r="D137" t="s">
        <v>110</v>
      </c>
      <c r="E137" t="s">
        <v>18</v>
      </c>
      <c r="F137" t="s">
        <v>600</v>
      </c>
      <c r="G137">
        <v>3</v>
      </c>
      <c r="H137">
        <v>4</v>
      </c>
      <c r="I137">
        <v>2</v>
      </c>
      <c r="J137" t="s">
        <v>555</v>
      </c>
    </row>
    <row r="138" spans="1:10" x14ac:dyDescent="0.25">
      <c r="A138" t="s">
        <v>374</v>
      </c>
      <c r="B138">
        <v>46190</v>
      </c>
      <c r="C138">
        <v>9.5558869715576589E-2</v>
      </c>
      <c r="D138" t="s">
        <v>268</v>
      </c>
      <c r="E138" t="s">
        <v>13</v>
      </c>
      <c r="F138" t="s">
        <v>598</v>
      </c>
      <c r="G138">
        <v>3</v>
      </c>
      <c r="H138">
        <v>4</v>
      </c>
      <c r="I138">
        <v>0</v>
      </c>
      <c r="J138" t="s">
        <v>551</v>
      </c>
    </row>
    <row r="139" spans="1:10" x14ac:dyDescent="0.25">
      <c r="A139" t="s">
        <v>375</v>
      </c>
      <c r="B139">
        <v>46187</v>
      </c>
      <c r="C139">
        <v>0.3369924947402152</v>
      </c>
      <c r="D139" t="s">
        <v>260</v>
      </c>
      <c r="E139" t="s">
        <v>13</v>
      </c>
      <c r="F139" t="s">
        <v>588</v>
      </c>
      <c r="G139">
        <v>1</v>
      </c>
      <c r="H139">
        <v>1</v>
      </c>
      <c r="I139">
        <v>0</v>
      </c>
      <c r="J139" t="s">
        <v>551</v>
      </c>
    </row>
    <row r="140" spans="1:10" x14ac:dyDescent="0.25">
      <c r="A140" t="s">
        <v>376</v>
      </c>
      <c r="B140">
        <v>46216</v>
      </c>
      <c r="C140">
        <v>3.8428825726612992E-2</v>
      </c>
      <c r="D140" t="s">
        <v>259</v>
      </c>
      <c r="E140" t="s">
        <v>545</v>
      </c>
      <c r="F140" t="s">
        <v>596</v>
      </c>
      <c r="G140">
        <v>3</v>
      </c>
      <c r="H140">
        <v>2</v>
      </c>
      <c r="I140">
        <v>0</v>
      </c>
      <c r="J140" t="s">
        <v>549</v>
      </c>
    </row>
    <row r="141" spans="1:10" x14ac:dyDescent="0.25">
      <c r="A141" t="s">
        <v>377</v>
      </c>
      <c r="B141">
        <v>46197</v>
      </c>
      <c r="C141">
        <v>0.87546702889705352</v>
      </c>
      <c r="D141" t="s">
        <v>247</v>
      </c>
      <c r="E141" t="s">
        <v>540</v>
      </c>
      <c r="F141" t="s">
        <v>600</v>
      </c>
      <c r="G141">
        <v>1</v>
      </c>
      <c r="H141">
        <v>3</v>
      </c>
      <c r="I141">
        <v>2</v>
      </c>
      <c r="J141" t="s">
        <v>559</v>
      </c>
    </row>
    <row r="142" spans="1:10" x14ac:dyDescent="0.25">
      <c r="A142" t="s">
        <v>378</v>
      </c>
      <c r="B142">
        <v>46204</v>
      </c>
      <c r="C142">
        <v>0.10504975924145621</v>
      </c>
      <c r="D142" t="s">
        <v>24</v>
      </c>
      <c r="E142" t="s">
        <v>627</v>
      </c>
      <c r="F142" t="s">
        <v>600</v>
      </c>
      <c r="G142">
        <v>2</v>
      </c>
      <c r="H142">
        <v>5</v>
      </c>
      <c r="I142">
        <v>0</v>
      </c>
      <c r="J142" t="s">
        <v>557</v>
      </c>
    </row>
    <row r="143" spans="1:10" x14ac:dyDescent="0.25">
      <c r="A143" t="s">
        <v>379</v>
      </c>
      <c r="B143">
        <v>46060</v>
      </c>
      <c r="C143">
        <v>0.83074527400646214</v>
      </c>
      <c r="D143" t="s">
        <v>280</v>
      </c>
      <c r="E143" t="s">
        <v>540</v>
      </c>
      <c r="F143" t="s">
        <v>588</v>
      </c>
      <c r="G143">
        <v>1</v>
      </c>
      <c r="H143">
        <v>1</v>
      </c>
      <c r="I143">
        <v>1</v>
      </c>
      <c r="J143" t="s">
        <v>549</v>
      </c>
    </row>
    <row r="144" spans="1:10" x14ac:dyDescent="0.25">
      <c r="A144" t="s">
        <v>380</v>
      </c>
      <c r="B144">
        <v>46215</v>
      </c>
      <c r="C144">
        <v>0.73074194181683161</v>
      </c>
      <c r="D144" t="s">
        <v>64</v>
      </c>
      <c r="E144" t="s">
        <v>545</v>
      </c>
      <c r="F144" t="s">
        <v>596</v>
      </c>
      <c r="G144">
        <v>2</v>
      </c>
      <c r="H144">
        <v>1</v>
      </c>
      <c r="I144">
        <v>0</v>
      </c>
      <c r="J144" t="s">
        <v>553</v>
      </c>
    </row>
    <row r="145" spans="1:10" x14ac:dyDescent="0.25">
      <c r="A145" t="s">
        <v>381</v>
      </c>
      <c r="B145">
        <v>46220</v>
      </c>
      <c r="C145">
        <v>0.78498629981733403</v>
      </c>
      <c r="D145" t="s">
        <v>260</v>
      </c>
      <c r="E145" t="s">
        <v>545</v>
      </c>
      <c r="F145" t="s">
        <v>594</v>
      </c>
      <c r="G145">
        <v>2</v>
      </c>
      <c r="H145">
        <v>2</v>
      </c>
      <c r="I145">
        <v>1</v>
      </c>
      <c r="J145" t="s">
        <v>555</v>
      </c>
    </row>
    <row r="146" spans="1:10" x14ac:dyDescent="0.25">
      <c r="A146" t="s">
        <v>382</v>
      </c>
      <c r="B146">
        <v>46130</v>
      </c>
      <c r="C146">
        <v>0.79633597844303949</v>
      </c>
      <c r="D146" t="s">
        <v>257</v>
      </c>
      <c r="E146" t="s">
        <v>540</v>
      </c>
      <c r="F146" t="s">
        <v>600</v>
      </c>
      <c r="G146">
        <v>2</v>
      </c>
      <c r="H146">
        <v>1</v>
      </c>
      <c r="I146">
        <v>2</v>
      </c>
      <c r="J146" t="s">
        <v>549</v>
      </c>
    </row>
    <row r="147" spans="1:10" x14ac:dyDescent="0.25">
      <c r="A147" t="s">
        <v>383</v>
      </c>
      <c r="B147">
        <v>46044</v>
      </c>
      <c r="C147">
        <v>0.61503486550776965</v>
      </c>
      <c r="D147" t="s">
        <v>72</v>
      </c>
      <c r="E147" t="s">
        <v>13</v>
      </c>
      <c r="F147" t="s">
        <v>588</v>
      </c>
      <c r="G147">
        <v>2</v>
      </c>
      <c r="H147">
        <v>2</v>
      </c>
      <c r="I147">
        <v>2</v>
      </c>
      <c r="J147" t="s">
        <v>549</v>
      </c>
    </row>
    <row r="148" spans="1:10" x14ac:dyDescent="0.25">
      <c r="A148" t="s">
        <v>384</v>
      </c>
      <c r="B148">
        <v>46043</v>
      </c>
      <c r="C148">
        <v>0.51947656702924716</v>
      </c>
      <c r="D148" t="s">
        <v>284</v>
      </c>
      <c r="E148" t="s">
        <v>545</v>
      </c>
      <c r="F148" t="s">
        <v>590</v>
      </c>
      <c r="G148">
        <v>1</v>
      </c>
      <c r="H148">
        <v>3</v>
      </c>
      <c r="I148">
        <v>2</v>
      </c>
      <c r="J148" t="s">
        <v>559</v>
      </c>
    </row>
    <row r="149" spans="1:10" x14ac:dyDescent="0.25">
      <c r="A149" t="s">
        <v>385</v>
      </c>
      <c r="B149">
        <v>46211</v>
      </c>
      <c r="C149">
        <v>0.64659549055823928</v>
      </c>
      <c r="D149" t="s">
        <v>106</v>
      </c>
      <c r="E149" t="s">
        <v>627</v>
      </c>
      <c r="F149" t="s">
        <v>590</v>
      </c>
      <c r="G149">
        <v>1</v>
      </c>
      <c r="H149">
        <v>5</v>
      </c>
      <c r="I149">
        <v>0</v>
      </c>
      <c r="J149" t="s">
        <v>557</v>
      </c>
    </row>
    <row r="150" spans="1:10" x14ac:dyDescent="0.25">
      <c r="A150" t="s">
        <v>386</v>
      </c>
      <c r="B150">
        <v>46026</v>
      </c>
      <c r="C150">
        <v>0.59063483633318503</v>
      </c>
      <c r="D150" t="s">
        <v>282</v>
      </c>
      <c r="E150" t="s">
        <v>545</v>
      </c>
      <c r="F150" t="s">
        <v>594</v>
      </c>
      <c r="G150">
        <v>2</v>
      </c>
      <c r="H150">
        <v>1</v>
      </c>
      <c r="I150">
        <v>1</v>
      </c>
      <c r="J150" t="s">
        <v>551</v>
      </c>
    </row>
    <row r="151" spans="1:10" x14ac:dyDescent="0.25">
      <c r="A151" t="s">
        <v>387</v>
      </c>
      <c r="B151">
        <v>46153</v>
      </c>
      <c r="C151">
        <v>0.36132536638396529</v>
      </c>
      <c r="D151" t="s">
        <v>252</v>
      </c>
      <c r="E151" t="s">
        <v>540</v>
      </c>
      <c r="F151" t="s">
        <v>600</v>
      </c>
      <c r="G151">
        <v>2</v>
      </c>
      <c r="H151">
        <v>4</v>
      </c>
      <c r="I151">
        <v>0</v>
      </c>
      <c r="J151" t="s">
        <v>559</v>
      </c>
    </row>
    <row r="152" spans="1:10" x14ac:dyDescent="0.25">
      <c r="A152" t="s">
        <v>388</v>
      </c>
      <c r="B152">
        <v>46037</v>
      </c>
      <c r="C152">
        <v>0.32530346962455436</v>
      </c>
      <c r="D152" t="s">
        <v>80</v>
      </c>
      <c r="E152" t="s">
        <v>18</v>
      </c>
      <c r="F152" t="s">
        <v>588</v>
      </c>
      <c r="G152">
        <v>2</v>
      </c>
      <c r="H152">
        <v>4</v>
      </c>
      <c r="I152">
        <v>1</v>
      </c>
      <c r="J152" t="s">
        <v>551</v>
      </c>
    </row>
    <row r="153" spans="1:10" x14ac:dyDescent="0.25">
      <c r="A153" t="s">
        <v>389</v>
      </c>
      <c r="B153">
        <v>46187</v>
      </c>
      <c r="C153">
        <v>0.76299742037324214</v>
      </c>
      <c r="D153" t="s">
        <v>40</v>
      </c>
      <c r="E153" t="s">
        <v>13</v>
      </c>
      <c r="F153" t="s">
        <v>586</v>
      </c>
      <c r="G153">
        <v>3</v>
      </c>
      <c r="H153">
        <v>5</v>
      </c>
      <c r="I153">
        <v>2</v>
      </c>
      <c r="J153" t="s">
        <v>555</v>
      </c>
    </row>
    <row r="154" spans="1:10" x14ac:dyDescent="0.25">
      <c r="A154" t="s">
        <v>390</v>
      </c>
      <c r="B154">
        <v>46122</v>
      </c>
      <c r="C154">
        <v>0.42469342877994798</v>
      </c>
      <c r="D154" t="s">
        <v>284</v>
      </c>
      <c r="E154" t="s">
        <v>545</v>
      </c>
      <c r="F154" t="s">
        <v>588</v>
      </c>
      <c r="G154">
        <v>1</v>
      </c>
      <c r="H154">
        <v>3</v>
      </c>
      <c r="I154">
        <v>0</v>
      </c>
      <c r="J154" t="s">
        <v>551</v>
      </c>
    </row>
    <row r="155" spans="1:10" x14ac:dyDescent="0.25">
      <c r="A155" t="s">
        <v>391</v>
      </c>
      <c r="B155">
        <v>46154</v>
      </c>
      <c r="C155">
        <v>0.66121271902689283</v>
      </c>
      <c r="D155" t="s">
        <v>26</v>
      </c>
      <c r="E155" t="s">
        <v>18</v>
      </c>
      <c r="F155" t="s">
        <v>590</v>
      </c>
      <c r="G155">
        <v>2</v>
      </c>
      <c r="H155">
        <v>4</v>
      </c>
      <c r="I155">
        <v>2</v>
      </c>
      <c r="J155" t="s">
        <v>549</v>
      </c>
    </row>
    <row r="156" spans="1:10" x14ac:dyDescent="0.25">
      <c r="A156" t="s">
        <v>392</v>
      </c>
      <c r="B156">
        <v>46110</v>
      </c>
      <c r="C156">
        <v>0.85595116435310037</v>
      </c>
      <c r="D156" t="s">
        <v>253</v>
      </c>
      <c r="E156" t="s">
        <v>627</v>
      </c>
      <c r="F156" t="s">
        <v>590</v>
      </c>
      <c r="G156">
        <v>1</v>
      </c>
      <c r="H156">
        <v>5</v>
      </c>
      <c r="I156">
        <v>1</v>
      </c>
      <c r="J156" t="s">
        <v>557</v>
      </c>
    </row>
    <row r="157" spans="1:10" x14ac:dyDescent="0.25">
      <c r="A157" t="s">
        <v>393</v>
      </c>
      <c r="B157">
        <v>46165</v>
      </c>
      <c r="C157">
        <v>0.67294666687560911</v>
      </c>
      <c r="D157" t="s">
        <v>254</v>
      </c>
      <c r="E157" t="s">
        <v>13</v>
      </c>
      <c r="F157" t="s">
        <v>594</v>
      </c>
      <c r="G157">
        <v>1</v>
      </c>
      <c r="H157">
        <v>2</v>
      </c>
      <c r="I157">
        <v>1</v>
      </c>
      <c r="J157" t="s">
        <v>551</v>
      </c>
    </row>
    <row r="158" spans="1:10" x14ac:dyDescent="0.25">
      <c r="A158" t="s">
        <v>394</v>
      </c>
      <c r="B158">
        <v>46165</v>
      </c>
      <c r="C158">
        <v>0.77547910558835398</v>
      </c>
      <c r="D158" t="s">
        <v>242</v>
      </c>
      <c r="E158" t="s">
        <v>540</v>
      </c>
      <c r="F158" t="s">
        <v>588</v>
      </c>
      <c r="G158">
        <v>2</v>
      </c>
      <c r="H158">
        <v>2</v>
      </c>
      <c r="I158">
        <v>1</v>
      </c>
      <c r="J158" t="s">
        <v>553</v>
      </c>
    </row>
    <row r="159" spans="1:10" x14ac:dyDescent="0.25">
      <c r="A159" t="s">
        <v>395</v>
      </c>
      <c r="B159">
        <v>46191</v>
      </c>
      <c r="C159">
        <v>0.18131354157678459</v>
      </c>
      <c r="D159" t="s">
        <v>243</v>
      </c>
      <c r="E159" t="s">
        <v>540</v>
      </c>
      <c r="F159" t="s">
        <v>598</v>
      </c>
      <c r="G159">
        <v>1</v>
      </c>
      <c r="H159">
        <v>1</v>
      </c>
      <c r="I159">
        <v>2</v>
      </c>
      <c r="J159" t="s">
        <v>549</v>
      </c>
    </row>
    <row r="160" spans="1:10" x14ac:dyDescent="0.25">
      <c r="A160" t="s">
        <v>396</v>
      </c>
      <c r="B160">
        <v>46032</v>
      </c>
      <c r="C160">
        <v>0.98607997473081488</v>
      </c>
      <c r="D160" t="s">
        <v>261</v>
      </c>
      <c r="E160" t="s">
        <v>545</v>
      </c>
      <c r="F160" t="s">
        <v>590</v>
      </c>
      <c r="G160">
        <v>1</v>
      </c>
      <c r="H160">
        <v>3</v>
      </c>
      <c r="I160">
        <v>0</v>
      </c>
      <c r="J160" t="s">
        <v>549</v>
      </c>
    </row>
    <row r="161" spans="1:10" x14ac:dyDescent="0.25">
      <c r="A161" t="s">
        <v>397</v>
      </c>
      <c r="B161">
        <v>46047</v>
      </c>
      <c r="C161">
        <v>0.1069697875317549</v>
      </c>
      <c r="D161" t="s">
        <v>50</v>
      </c>
      <c r="E161" t="s">
        <v>13</v>
      </c>
      <c r="F161" t="s">
        <v>588</v>
      </c>
      <c r="G161">
        <v>1</v>
      </c>
      <c r="H161">
        <v>2</v>
      </c>
      <c r="I161">
        <v>2</v>
      </c>
      <c r="J161" t="s">
        <v>549</v>
      </c>
    </row>
    <row r="162" spans="1:10" x14ac:dyDescent="0.25">
      <c r="A162" t="s">
        <v>398</v>
      </c>
      <c r="B162">
        <v>46124</v>
      </c>
      <c r="C162">
        <v>0.29835397501544214</v>
      </c>
      <c r="D162" t="s">
        <v>245</v>
      </c>
      <c r="E162" t="s">
        <v>545</v>
      </c>
      <c r="F162" t="s">
        <v>596</v>
      </c>
      <c r="G162">
        <v>1</v>
      </c>
      <c r="H162">
        <v>3</v>
      </c>
      <c r="I162">
        <v>2</v>
      </c>
      <c r="J162" t="s">
        <v>551</v>
      </c>
    </row>
    <row r="163" spans="1:10" x14ac:dyDescent="0.25">
      <c r="A163" t="s">
        <v>399</v>
      </c>
      <c r="B163">
        <v>46024</v>
      </c>
      <c r="C163">
        <v>0.87386922689813562</v>
      </c>
      <c r="D163" t="s">
        <v>32</v>
      </c>
      <c r="E163" t="s">
        <v>13</v>
      </c>
      <c r="F163" t="s">
        <v>598</v>
      </c>
      <c r="G163">
        <v>2</v>
      </c>
      <c r="H163">
        <v>1</v>
      </c>
      <c r="I163">
        <v>1</v>
      </c>
      <c r="J163" t="s">
        <v>557</v>
      </c>
    </row>
    <row r="164" spans="1:10" x14ac:dyDescent="0.25">
      <c r="A164" t="s">
        <v>400</v>
      </c>
      <c r="B164">
        <v>46062</v>
      </c>
      <c r="C164">
        <v>0.81154380850365837</v>
      </c>
      <c r="D164" t="s">
        <v>90</v>
      </c>
      <c r="E164" t="s">
        <v>540</v>
      </c>
      <c r="F164" t="s">
        <v>586</v>
      </c>
      <c r="G164">
        <v>2</v>
      </c>
      <c r="H164">
        <v>1</v>
      </c>
      <c r="I164">
        <v>0</v>
      </c>
      <c r="J164" t="s">
        <v>559</v>
      </c>
    </row>
    <row r="165" spans="1:10" x14ac:dyDescent="0.25">
      <c r="A165" t="s">
        <v>401</v>
      </c>
      <c r="B165">
        <v>46027</v>
      </c>
      <c r="C165">
        <v>0.3324716075645987</v>
      </c>
      <c r="D165" t="s">
        <v>110</v>
      </c>
      <c r="E165" t="s">
        <v>540</v>
      </c>
      <c r="F165" t="s">
        <v>588</v>
      </c>
      <c r="G165">
        <v>2</v>
      </c>
      <c r="H165">
        <v>5</v>
      </c>
      <c r="I165">
        <v>2</v>
      </c>
      <c r="J165" t="s">
        <v>559</v>
      </c>
    </row>
    <row r="166" spans="1:10" x14ac:dyDescent="0.25">
      <c r="A166" t="s">
        <v>402</v>
      </c>
      <c r="B166">
        <v>46069</v>
      </c>
      <c r="C166">
        <v>0.33325526734827693</v>
      </c>
      <c r="D166" t="s">
        <v>44</v>
      </c>
      <c r="E166" t="s">
        <v>18</v>
      </c>
      <c r="F166" t="s">
        <v>598</v>
      </c>
      <c r="G166">
        <v>1</v>
      </c>
      <c r="H166">
        <v>5</v>
      </c>
      <c r="I166">
        <v>2</v>
      </c>
      <c r="J166" t="s">
        <v>549</v>
      </c>
    </row>
    <row r="167" spans="1:10" x14ac:dyDescent="0.25">
      <c r="A167" t="s">
        <v>403</v>
      </c>
      <c r="B167">
        <v>46033</v>
      </c>
      <c r="C167">
        <v>8.6505828071562485E-2</v>
      </c>
      <c r="D167" t="s">
        <v>253</v>
      </c>
      <c r="E167" t="s">
        <v>627</v>
      </c>
      <c r="F167" t="s">
        <v>588</v>
      </c>
      <c r="G167">
        <v>1</v>
      </c>
      <c r="H167">
        <v>2</v>
      </c>
      <c r="I167">
        <v>2</v>
      </c>
      <c r="J167" t="s">
        <v>557</v>
      </c>
    </row>
    <row r="168" spans="1:10" x14ac:dyDescent="0.25">
      <c r="A168" t="s">
        <v>404</v>
      </c>
      <c r="B168">
        <v>46034</v>
      </c>
      <c r="C168">
        <v>0.90093782818030732</v>
      </c>
      <c r="D168" t="s">
        <v>255</v>
      </c>
      <c r="E168" t="s">
        <v>540</v>
      </c>
      <c r="F168" t="s">
        <v>590</v>
      </c>
      <c r="G168">
        <v>1</v>
      </c>
      <c r="H168">
        <v>1</v>
      </c>
      <c r="I168">
        <v>2</v>
      </c>
      <c r="J168" t="s">
        <v>555</v>
      </c>
    </row>
    <row r="169" spans="1:10" x14ac:dyDescent="0.25">
      <c r="A169" t="s">
        <v>405</v>
      </c>
      <c r="B169">
        <v>46180</v>
      </c>
      <c r="C169">
        <v>0.97547113824845055</v>
      </c>
      <c r="D169" t="s">
        <v>249</v>
      </c>
      <c r="E169" t="s">
        <v>540</v>
      </c>
      <c r="F169" t="s">
        <v>600</v>
      </c>
      <c r="G169">
        <v>1</v>
      </c>
      <c r="H169">
        <v>5</v>
      </c>
      <c r="I169">
        <v>2</v>
      </c>
      <c r="J169" t="s">
        <v>551</v>
      </c>
    </row>
    <row r="170" spans="1:10" x14ac:dyDescent="0.25">
      <c r="A170" t="s">
        <v>406</v>
      </c>
      <c r="B170">
        <v>46074</v>
      </c>
      <c r="C170">
        <v>0.34026671050494051</v>
      </c>
      <c r="D170" t="s">
        <v>239</v>
      </c>
      <c r="E170" t="s">
        <v>18</v>
      </c>
      <c r="F170" t="s">
        <v>592</v>
      </c>
      <c r="G170">
        <v>2</v>
      </c>
      <c r="H170">
        <v>2</v>
      </c>
      <c r="I170">
        <v>0</v>
      </c>
      <c r="J170" t="s">
        <v>557</v>
      </c>
    </row>
    <row r="171" spans="1:10" x14ac:dyDescent="0.25">
      <c r="A171" t="s">
        <v>87</v>
      </c>
      <c r="B171">
        <v>46055</v>
      </c>
      <c r="C171">
        <v>0.31451437568157836</v>
      </c>
      <c r="D171" t="s">
        <v>78</v>
      </c>
      <c r="E171" t="s">
        <v>18</v>
      </c>
      <c r="F171" t="s">
        <v>592</v>
      </c>
      <c r="G171">
        <v>2</v>
      </c>
      <c r="H171">
        <v>4</v>
      </c>
      <c r="I171">
        <v>0</v>
      </c>
      <c r="J171" t="s">
        <v>557</v>
      </c>
    </row>
    <row r="172" spans="1:10" x14ac:dyDescent="0.25">
      <c r="A172" t="s">
        <v>408</v>
      </c>
      <c r="B172">
        <v>46097</v>
      </c>
      <c r="C172">
        <v>0.20025663142600159</v>
      </c>
      <c r="D172" t="s">
        <v>68</v>
      </c>
      <c r="E172" t="s">
        <v>545</v>
      </c>
      <c r="F172" t="s">
        <v>586</v>
      </c>
      <c r="G172">
        <v>1</v>
      </c>
      <c r="H172">
        <v>3</v>
      </c>
      <c r="I172">
        <v>1</v>
      </c>
      <c r="J172" t="s">
        <v>553</v>
      </c>
    </row>
    <row r="173" spans="1:10" x14ac:dyDescent="0.25">
      <c r="A173" t="s">
        <v>409</v>
      </c>
      <c r="B173">
        <v>46113</v>
      </c>
      <c r="C173">
        <v>0.61100875163672919</v>
      </c>
      <c r="D173" t="s">
        <v>78</v>
      </c>
      <c r="E173" t="s">
        <v>627</v>
      </c>
      <c r="F173" t="s">
        <v>596</v>
      </c>
      <c r="G173">
        <v>3</v>
      </c>
      <c r="H173">
        <v>4</v>
      </c>
      <c r="I173">
        <v>1</v>
      </c>
      <c r="J173" t="s">
        <v>551</v>
      </c>
    </row>
    <row r="174" spans="1:10" x14ac:dyDescent="0.25">
      <c r="A174" t="s">
        <v>410</v>
      </c>
      <c r="B174">
        <v>46102</v>
      </c>
      <c r="C174">
        <v>0.19206314549317893</v>
      </c>
      <c r="D174" t="s">
        <v>106</v>
      </c>
      <c r="E174" t="s">
        <v>540</v>
      </c>
      <c r="F174" t="s">
        <v>592</v>
      </c>
      <c r="G174">
        <v>2</v>
      </c>
      <c r="H174">
        <v>4</v>
      </c>
      <c r="I174">
        <v>2</v>
      </c>
      <c r="J174" t="s">
        <v>551</v>
      </c>
    </row>
    <row r="175" spans="1:10" x14ac:dyDescent="0.25">
      <c r="A175" t="s">
        <v>428</v>
      </c>
      <c r="B175">
        <v>46094</v>
      </c>
      <c r="C175">
        <v>0.56607293190799568</v>
      </c>
      <c r="D175" t="s">
        <v>78</v>
      </c>
      <c r="E175" t="s">
        <v>540</v>
      </c>
      <c r="F175" t="s">
        <v>590</v>
      </c>
      <c r="G175">
        <v>2</v>
      </c>
      <c r="H175">
        <v>4</v>
      </c>
      <c r="I175">
        <v>0</v>
      </c>
      <c r="J175" t="s">
        <v>551</v>
      </c>
    </row>
    <row r="176" spans="1:10" x14ac:dyDescent="0.25">
      <c r="A176" t="s">
        <v>459</v>
      </c>
      <c r="B176">
        <v>46207</v>
      </c>
      <c r="C176">
        <v>0.5075797891447752</v>
      </c>
      <c r="D176" t="s">
        <v>84</v>
      </c>
      <c r="E176" t="s">
        <v>540</v>
      </c>
      <c r="F176" t="s">
        <v>600</v>
      </c>
      <c r="G176">
        <v>2</v>
      </c>
      <c r="H176">
        <v>1</v>
      </c>
      <c r="I176">
        <v>0</v>
      </c>
      <c r="J176" t="s">
        <v>555</v>
      </c>
    </row>
    <row r="177" spans="1:10" x14ac:dyDescent="0.25">
      <c r="A177" t="s">
        <v>413</v>
      </c>
      <c r="B177">
        <v>46203</v>
      </c>
      <c r="C177">
        <v>0.64560536036748695</v>
      </c>
      <c r="D177" t="s">
        <v>12</v>
      </c>
      <c r="E177" t="s">
        <v>13</v>
      </c>
      <c r="F177" t="s">
        <v>586</v>
      </c>
      <c r="G177">
        <v>3</v>
      </c>
      <c r="H177">
        <v>2</v>
      </c>
      <c r="I177">
        <v>2</v>
      </c>
      <c r="J177" t="s">
        <v>553</v>
      </c>
    </row>
    <row r="178" spans="1:10" x14ac:dyDescent="0.25">
      <c r="A178" t="s">
        <v>414</v>
      </c>
      <c r="B178">
        <v>46203</v>
      </c>
      <c r="C178">
        <v>0.93145899408750665</v>
      </c>
      <c r="D178" t="s">
        <v>242</v>
      </c>
      <c r="E178" t="s">
        <v>18</v>
      </c>
      <c r="F178" t="s">
        <v>596</v>
      </c>
      <c r="G178">
        <v>1</v>
      </c>
      <c r="H178">
        <v>1</v>
      </c>
      <c r="I178">
        <v>1</v>
      </c>
      <c r="J178" t="s">
        <v>549</v>
      </c>
    </row>
    <row r="179" spans="1:10" x14ac:dyDescent="0.25">
      <c r="A179" t="s">
        <v>415</v>
      </c>
      <c r="B179">
        <v>46120</v>
      </c>
      <c r="C179">
        <v>0.13533147497395315</v>
      </c>
      <c r="D179" t="s">
        <v>66</v>
      </c>
      <c r="E179" t="s">
        <v>545</v>
      </c>
      <c r="F179" t="s">
        <v>588</v>
      </c>
      <c r="G179">
        <v>2</v>
      </c>
      <c r="H179">
        <v>3</v>
      </c>
      <c r="I179">
        <v>0</v>
      </c>
      <c r="J179" t="s">
        <v>557</v>
      </c>
    </row>
    <row r="180" spans="1:10" x14ac:dyDescent="0.25">
      <c r="A180" t="s">
        <v>460</v>
      </c>
      <c r="B180">
        <v>46141</v>
      </c>
      <c r="C180">
        <v>0.91546406556442028</v>
      </c>
      <c r="D180" t="s">
        <v>241</v>
      </c>
      <c r="E180" t="s">
        <v>540</v>
      </c>
      <c r="F180" t="s">
        <v>596</v>
      </c>
      <c r="G180">
        <v>2</v>
      </c>
      <c r="H180">
        <v>3</v>
      </c>
      <c r="I180">
        <v>0</v>
      </c>
      <c r="J180" t="s">
        <v>553</v>
      </c>
    </row>
    <row r="181" spans="1:10" x14ac:dyDescent="0.25">
      <c r="A181" t="s">
        <v>417</v>
      </c>
      <c r="B181">
        <v>46109</v>
      </c>
      <c r="C181">
        <v>0.20541766167974784</v>
      </c>
      <c r="D181" t="s">
        <v>44</v>
      </c>
      <c r="E181" t="s">
        <v>545</v>
      </c>
      <c r="F181" t="s">
        <v>590</v>
      </c>
      <c r="G181">
        <v>2</v>
      </c>
      <c r="H181">
        <v>1</v>
      </c>
      <c r="I181">
        <v>1</v>
      </c>
      <c r="J181" t="s">
        <v>553</v>
      </c>
    </row>
    <row r="182" spans="1:10" x14ac:dyDescent="0.25">
      <c r="A182" t="s">
        <v>468</v>
      </c>
      <c r="B182">
        <v>46189</v>
      </c>
      <c r="C182">
        <v>0.93992903406485384</v>
      </c>
      <c r="D182" t="s">
        <v>54</v>
      </c>
      <c r="E182" t="s">
        <v>540</v>
      </c>
      <c r="F182" t="s">
        <v>588</v>
      </c>
      <c r="G182">
        <v>2</v>
      </c>
      <c r="H182">
        <v>4</v>
      </c>
      <c r="I182">
        <v>0</v>
      </c>
      <c r="J182" t="s">
        <v>551</v>
      </c>
    </row>
    <row r="183" spans="1:10" x14ac:dyDescent="0.25">
      <c r="A183" t="s">
        <v>419</v>
      </c>
      <c r="B183">
        <v>46126</v>
      </c>
      <c r="C183">
        <v>0.84769893021622444</v>
      </c>
      <c r="D183" t="s">
        <v>80</v>
      </c>
      <c r="E183" t="s">
        <v>545</v>
      </c>
      <c r="F183" t="s">
        <v>590</v>
      </c>
      <c r="G183">
        <v>2</v>
      </c>
      <c r="H183">
        <v>5</v>
      </c>
      <c r="I183">
        <v>1</v>
      </c>
      <c r="J183" t="s">
        <v>557</v>
      </c>
    </row>
    <row r="184" spans="1:10" x14ac:dyDescent="0.25">
      <c r="A184" t="s">
        <v>420</v>
      </c>
      <c r="B184">
        <v>46163</v>
      </c>
      <c r="C184">
        <v>0.63563464110867196</v>
      </c>
      <c r="D184" t="s">
        <v>256</v>
      </c>
      <c r="E184" t="s">
        <v>545</v>
      </c>
      <c r="F184" t="s">
        <v>588</v>
      </c>
      <c r="G184">
        <v>2</v>
      </c>
      <c r="H184">
        <v>2</v>
      </c>
      <c r="I184">
        <v>1</v>
      </c>
      <c r="J184" t="s">
        <v>549</v>
      </c>
    </row>
    <row r="185" spans="1:10" x14ac:dyDescent="0.25">
      <c r="A185" t="s">
        <v>421</v>
      </c>
      <c r="B185">
        <v>46170</v>
      </c>
      <c r="C185">
        <v>0.60541896750645674</v>
      </c>
      <c r="D185" t="s">
        <v>104</v>
      </c>
      <c r="E185" t="s">
        <v>13</v>
      </c>
      <c r="F185" t="s">
        <v>598</v>
      </c>
      <c r="G185">
        <v>3</v>
      </c>
      <c r="H185">
        <v>5</v>
      </c>
      <c r="I185">
        <v>1</v>
      </c>
      <c r="J185" t="s">
        <v>553</v>
      </c>
    </row>
    <row r="186" spans="1:10" x14ac:dyDescent="0.25">
      <c r="A186" t="s">
        <v>422</v>
      </c>
      <c r="B186">
        <v>46094</v>
      </c>
      <c r="C186">
        <v>0.75723981584276578</v>
      </c>
      <c r="D186" t="s">
        <v>96</v>
      </c>
      <c r="E186" t="s">
        <v>13</v>
      </c>
      <c r="F186" t="s">
        <v>590</v>
      </c>
      <c r="G186">
        <v>3</v>
      </c>
      <c r="H186">
        <v>3</v>
      </c>
      <c r="I186">
        <v>2</v>
      </c>
      <c r="J186" t="s">
        <v>549</v>
      </c>
    </row>
    <row r="187" spans="1:10" x14ac:dyDescent="0.25">
      <c r="A187" t="s">
        <v>423</v>
      </c>
      <c r="B187">
        <v>46167</v>
      </c>
      <c r="C187">
        <v>0.11841701022552331</v>
      </c>
      <c r="D187" t="s">
        <v>64</v>
      </c>
      <c r="E187" t="s">
        <v>13</v>
      </c>
      <c r="F187" t="s">
        <v>586</v>
      </c>
      <c r="G187">
        <v>1</v>
      </c>
      <c r="H187">
        <v>2</v>
      </c>
      <c r="I187">
        <v>1</v>
      </c>
      <c r="J187" t="s">
        <v>551</v>
      </c>
    </row>
    <row r="188" spans="1:10" x14ac:dyDescent="0.25">
      <c r="A188" t="s">
        <v>424</v>
      </c>
      <c r="B188">
        <v>46203</v>
      </c>
      <c r="C188">
        <v>0.79240798864591855</v>
      </c>
      <c r="D188" t="s">
        <v>283</v>
      </c>
      <c r="E188" t="s">
        <v>540</v>
      </c>
      <c r="F188" t="s">
        <v>588</v>
      </c>
      <c r="G188">
        <v>2</v>
      </c>
      <c r="H188">
        <v>1</v>
      </c>
      <c r="I188">
        <v>2</v>
      </c>
      <c r="J188" t="s">
        <v>551</v>
      </c>
    </row>
    <row r="189" spans="1:10" x14ac:dyDescent="0.25">
      <c r="A189" t="s">
        <v>425</v>
      </c>
      <c r="B189">
        <v>46145</v>
      </c>
      <c r="C189">
        <v>0.20479177765816037</v>
      </c>
      <c r="D189" t="s">
        <v>98</v>
      </c>
      <c r="E189" t="s">
        <v>627</v>
      </c>
      <c r="F189" t="s">
        <v>592</v>
      </c>
      <c r="G189">
        <v>1</v>
      </c>
      <c r="H189">
        <v>5</v>
      </c>
      <c r="I189">
        <v>2</v>
      </c>
      <c r="J189" t="s">
        <v>555</v>
      </c>
    </row>
    <row r="190" spans="1:10" x14ac:dyDescent="0.25">
      <c r="A190" t="s">
        <v>426</v>
      </c>
      <c r="B190">
        <v>46065</v>
      </c>
      <c r="C190">
        <v>0.56554255392183184</v>
      </c>
      <c r="D190" t="s">
        <v>249</v>
      </c>
      <c r="E190" t="s">
        <v>627</v>
      </c>
      <c r="F190" t="s">
        <v>586</v>
      </c>
      <c r="G190">
        <v>3</v>
      </c>
      <c r="H190">
        <v>2</v>
      </c>
      <c r="I190">
        <v>0</v>
      </c>
      <c r="J190" t="s">
        <v>549</v>
      </c>
    </row>
    <row r="191" spans="1:10" x14ac:dyDescent="0.25">
      <c r="A191" t="s">
        <v>427</v>
      </c>
      <c r="B191">
        <v>46055</v>
      </c>
      <c r="C191">
        <v>0.50276266131283243</v>
      </c>
      <c r="D191" t="s">
        <v>92</v>
      </c>
      <c r="E191" t="s">
        <v>540</v>
      </c>
      <c r="F191" t="s">
        <v>590</v>
      </c>
      <c r="G191">
        <v>1</v>
      </c>
      <c r="H191">
        <v>1</v>
      </c>
      <c r="I191">
        <v>1</v>
      </c>
      <c r="J191" t="s">
        <v>553</v>
      </c>
    </row>
    <row r="192" spans="1:10" x14ac:dyDescent="0.25">
      <c r="A192" t="s">
        <v>487</v>
      </c>
      <c r="B192">
        <v>46105</v>
      </c>
      <c r="C192">
        <v>0.15571796896690737</v>
      </c>
      <c r="D192" t="s">
        <v>272</v>
      </c>
      <c r="E192" t="s">
        <v>540</v>
      </c>
      <c r="F192" t="s">
        <v>596</v>
      </c>
      <c r="G192">
        <v>2</v>
      </c>
      <c r="H192">
        <v>2</v>
      </c>
      <c r="I192">
        <v>2</v>
      </c>
      <c r="J192" t="s">
        <v>557</v>
      </c>
    </row>
    <row r="193" spans="1:10" x14ac:dyDescent="0.25">
      <c r="A193" t="s">
        <v>429</v>
      </c>
      <c r="B193">
        <v>46109</v>
      </c>
      <c r="C193">
        <v>5.9247859346116982E-2</v>
      </c>
      <c r="D193" t="s">
        <v>68</v>
      </c>
      <c r="E193" t="s">
        <v>540</v>
      </c>
      <c r="F193" t="s">
        <v>588</v>
      </c>
      <c r="G193">
        <v>1</v>
      </c>
      <c r="H193">
        <v>3</v>
      </c>
      <c r="I193">
        <v>2</v>
      </c>
      <c r="J193" t="s">
        <v>549</v>
      </c>
    </row>
    <row r="194" spans="1:10" x14ac:dyDescent="0.25">
      <c r="A194" t="s">
        <v>488</v>
      </c>
      <c r="B194">
        <v>46154</v>
      </c>
      <c r="C194">
        <v>0.77587928755398483</v>
      </c>
      <c r="D194" t="s">
        <v>280</v>
      </c>
      <c r="E194" t="s">
        <v>18</v>
      </c>
      <c r="F194" t="s">
        <v>588</v>
      </c>
      <c r="G194">
        <v>2</v>
      </c>
      <c r="H194">
        <v>1</v>
      </c>
      <c r="I194">
        <v>2</v>
      </c>
      <c r="J194" t="s">
        <v>549</v>
      </c>
    </row>
    <row r="195" spans="1:10" x14ac:dyDescent="0.25">
      <c r="A195" t="s">
        <v>431</v>
      </c>
      <c r="B195">
        <v>46194</v>
      </c>
      <c r="C195">
        <v>0.83821331509738195</v>
      </c>
      <c r="D195" t="s">
        <v>88</v>
      </c>
      <c r="E195" t="s">
        <v>13</v>
      </c>
      <c r="F195" t="s">
        <v>586</v>
      </c>
      <c r="G195">
        <v>1</v>
      </c>
      <c r="H195">
        <v>3</v>
      </c>
      <c r="I195">
        <v>1</v>
      </c>
      <c r="J195" t="s">
        <v>559</v>
      </c>
    </row>
    <row r="196" spans="1:10" x14ac:dyDescent="0.25">
      <c r="A196" t="s">
        <v>432</v>
      </c>
      <c r="B196">
        <v>46083</v>
      </c>
      <c r="C196">
        <v>0.61248950819238712</v>
      </c>
      <c r="D196" t="s">
        <v>269</v>
      </c>
      <c r="E196" t="s">
        <v>13</v>
      </c>
      <c r="F196" t="s">
        <v>588</v>
      </c>
      <c r="G196">
        <v>1</v>
      </c>
      <c r="H196">
        <v>2</v>
      </c>
      <c r="I196">
        <v>2</v>
      </c>
      <c r="J196" t="s">
        <v>557</v>
      </c>
    </row>
    <row r="197" spans="1:10" x14ac:dyDescent="0.25">
      <c r="A197" t="s">
        <v>433</v>
      </c>
      <c r="B197">
        <v>46065</v>
      </c>
      <c r="C197">
        <v>0.85044171170574656</v>
      </c>
      <c r="D197" t="s">
        <v>282</v>
      </c>
      <c r="E197" t="s">
        <v>545</v>
      </c>
      <c r="F197" t="s">
        <v>596</v>
      </c>
      <c r="G197">
        <v>1</v>
      </c>
      <c r="H197">
        <v>1</v>
      </c>
      <c r="I197">
        <v>1</v>
      </c>
      <c r="J197" t="s">
        <v>549</v>
      </c>
    </row>
    <row r="198" spans="1:10" x14ac:dyDescent="0.25">
      <c r="A198" t="s">
        <v>434</v>
      </c>
      <c r="B198">
        <v>46202</v>
      </c>
      <c r="C198">
        <v>5.1454208283474356E-2</v>
      </c>
      <c r="D198" t="s">
        <v>282</v>
      </c>
      <c r="E198" t="s">
        <v>545</v>
      </c>
      <c r="F198" t="s">
        <v>586</v>
      </c>
      <c r="G198">
        <v>2</v>
      </c>
      <c r="H198">
        <v>3</v>
      </c>
      <c r="I198">
        <v>2</v>
      </c>
      <c r="J198" t="s">
        <v>549</v>
      </c>
    </row>
    <row r="199" spans="1:10" x14ac:dyDescent="0.25">
      <c r="A199" t="s">
        <v>435</v>
      </c>
      <c r="B199">
        <v>46142</v>
      </c>
      <c r="C199">
        <v>0.52374981790643038</v>
      </c>
      <c r="D199" t="s">
        <v>243</v>
      </c>
      <c r="E199" t="s">
        <v>540</v>
      </c>
      <c r="F199" t="s">
        <v>588</v>
      </c>
      <c r="G199">
        <v>2</v>
      </c>
      <c r="H199">
        <v>4</v>
      </c>
      <c r="I199">
        <v>0</v>
      </c>
      <c r="J199" t="s">
        <v>551</v>
      </c>
    </row>
    <row r="200" spans="1:10" x14ac:dyDescent="0.25">
      <c r="A200" t="s">
        <v>436</v>
      </c>
      <c r="B200">
        <v>46189</v>
      </c>
      <c r="C200">
        <v>1.4419051325227916E-2</v>
      </c>
      <c r="D200" t="s">
        <v>255</v>
      </c>
      <c r="E200" t="s">
        <v>13</v>
      </c>
      <c r="F200" t="s">
        <v>600</v>
      </c>
      <c r="G200">
        <v>3</v>
      </c>
      <c r="H200">
        <v>3</v>
      </c>
      <c r="I200">
        <v>0</v>
      </c>
      <c r="J200" t="s">
        <v>551</v>
      </c>
    </row>
    <row r="201" spans="1:10" x14ac:dyDescent="0.25">
      <c r="A201" t="s">
        <v>437</v>
      </c>
      <c r="B201">
        <v>46146</v>
      </c>
      <c r="C201">
        <v>0.97410966998309245</v>
      </c>
      <c r="D201" t="s">
        <v>30</v>
      </c>
      <c r="E201" t="s">
        <v>13</v>
      </c>
      <c r="F201" t="s">
        <v>592</v>
      </c>
      <c r="G201">
        <v>3</v>
      </c>
      <c r="H201">
        <v>3</v>
      </c>
      <c r="I201">
        <v>0</v>
      </c>
      <c r="J201" t="s">
        <v>551</v>
      </c>
    </row>
    <row r="202" spans="1:10" x14ac:dyDescent="0.25">
      <c r="A202" t="s">
        <v>438</v>
      </c>
      <c r="B202">
        <v>46055</v>
      </c>
      <c r="C202">
        <v>0.32499881711239975</v>
      </c>
      <c r="D202" t="s">
        <v>246</v>
      </c>
      <c r="E202" t="s">
        <v>545</v>
      </c>
      <c r="F202" t="s">
        <v>594</v>
      </c>
      <c r="G202">
        <v>2</v>
      </c>
      <c r="H202">
        <v>1</v>
      </c>
      <c r="I202">
        <v>2</v>
      </c>
      <c r="J202" t="s">
        <v>549</v>
      </c>
    </row>
    <row r="203" spans="1:10" x14ac:dyDescent="0.25">
      <c r="A203" t="s">
        <v>439</v>
      </c>
      <c r="B203">
        <v>46140</v>
      </c>
      <c r="C203">
        <v>0.39410956525701724</v>
      </c>
      <c r="D203" t="s">
        <v>239</v>
      </c>
      <c r="E203" t="s">
        <v>540</v>
      </c>
      <c r="F203" t="s">
        <v>588</v>
      </c>
      <c r="G203">
        <v>2</v>
      </c>
      <c r="H203">
        <v>3</v>
      </c>
      <c r="I203">
        <v>2</v>
      </c>
      <c r="J203" t="s">
        <v>557</v>
      </c>
    </row>
    <row r="204" spans="1:10" x14ac:dyDescent="0.25">
      <c r="A204" t="s">
        <v>440</v>
      </c>
      <c r="B204">
        <v>46110</v>
      </c>
      <c r="C204">
        <v>0.44321165951860442</v>
      </c>
      <c r="D204" t="s">
        <v>263</v>
      </c>
      <c r="E204" t="s">
        <v>627</v>
      </c>
      <c r="F204" t="s">
        <v>588</v>
      </c>
      <c r="G204">
        <v>1</v>
      </c>
      <c r="H204">
        <v>1</v>
      </c>
      <c r="I204">
        <v>1</v>
      </c>
      <c r="J204" t="s">
        <v>557</v>
      </c>
    </row>
    <row r="205" spans="1:10" x14ac:dyDescent="0.25">
      <c r="A205" t="s">
        <v>441</v>
      </c>
      <c r="B205">
        <v>46063</v>
      </c>
      <c r="C205">
        <v>0.96124139056215574</v>
      </c>
      <c r="D205" t="s">
        <v>34</v>
      </c>
      <c r="E205" t="s">
        <v>13</v>
      </c>
      <c r="F205" t="s">
        <v>594</v>
      </c>
      <c r="G205">
        <v>1</v>
      </c>
      <c r="H205">
        <v>2</v>
      </c>
      <c r="I205">
        <v>1</v>
      </c>
      <c r="J205" t="s">
        <v>555</v>
      </c>
    </row>
    <row r="206" spans="1:10" x14ac:dyDescent="0.25">
      <c r="A206" t="s">
        <v>442</v>
      </c>
      <c r="B206">
        <v>46182</v>
      </c>
      <c r="C206">
        <v>0.16587675620634867</v>
      </c>
      <c r="D206" t="s">
        <v>282</v>
      </c>
      <c r="E206" t="s">
        <v>13</v>
      </c>
      <c r="F206" t="s">
        <v>594</v>
      </c>
      <c r="G206">
        <v>1</v>
      </c>
      <c r="H206">
        <v>2</v>
      </c>
      <c r="I206">
        <v>1</v>
      </c>
      <c r="J206" t="s">
        <v>553</v>
      </c>
    </row>
    <row r="207" spans="1:10" x14ac:dyDescent="0.25">
      <c r="A207" t="s">
        <v>443</v>
      </c>
      <c r="B207">
        <v>46168</v>
      </c>
      <c r="C207">
        <v>0.88245303904449324</v>
      </c>
      <c r="D207" t="s">
        <v>285</v>
      </c>
      <c r="E207" t="s">
        <v>13</v>
      </c>
      <c r="F207" t="s">
        <v>588</v>
      </c>
      <c r="G207">
        <v>3</v>
      </c>
      <c r="H207">
        <v>3</v>
      </c>
      <c r="I207">
        <v>1</v>
      </c>
      <c r="J207" t="s">
        <v>553</v>
      </c>
    </row>
    <row r="208" spans="1:10" x14ac:dyDescent="0.25">
      <c r="A208" t="s">
        <v>444</v>
      </c>
      <c r="B208">
        <v>46119</v>
      </c>
      <c r="C208">
        <v>0.75085787554982597</v>
      </c>
      <c r="D208" t="s">
        <v>267</v>
      </c>
      <c r="E208" t="s">
        <v>13</v>
      </c>
      <c r="F208" t="s">
        <v>592</v>
      </c>
      <c r="G208">
        <v>1</v>
      </c>
      <c r="H208">
        <v>2</v>
      </c>
      <c r="I208">
        <v>1</v>
      </c>
      <c r="J208" t="s">
        <v>551</v>
      </c>
    </row>
    <row r="209" spans="1:10" x14ac:dyDescent="0.25">
      <c r="A209" t="s">
        <v>445</v>
      </c>
      <c r="B209">
        <v>46060</v>
      </c>
      <c r="C209">
        <v>0.61150703446153543</v>
      </c>
      <c r="D209" t="s">
        <v>265</v>
      </c>
      <c r="E209" t="s">
        <v>627</v>
      </c>
      <c r="F209" t="s">
        <v>600</v>
      </c>
      <c r="G209">
        <v>1</v>
      </c>
      <c r="H209">
        <v>2</v>
      </c>
      <c r="I209">
        <v>2</v>
      </c>
      <c r="J209" t="s">
        <v>557</v>
      </c>
    </row>
    <row r="210" spans="1:10" x14ac:dyDescent="0.25">
      <c r="A210" t="s">
        <v>446</v>
      </c>
      <c r="B210">
        <v>46102</v>
      </c>
      <c r="C210">
        <v>0.65410757231879579</v>
      </c>
      <c r="D210" t="s">
        <v>253</v>
      </c>
      <c r="E210" t="s">
        <v>540</v>
      </c>
      <c r="F210" t="s">
        <v>590</v>
      </c>
      <c r="G210">
        <v>1</v>
      </c>
      <c r="H210">
        <v>1</v>
      </c>
      <c r="I210">
        <v>2</v>
      </c>
      <c r="J210" t="s">
        <v>553</v>
      </c>
    </row>
    <row r="211" spans="1:10" x14ac:dyDescent="0.25">
      <c r="A211" t="s">
        <v>447</v>
      </c>
      <c r="B211">
        <v>46075</v>
      </c>
      <c r="C211">
        <v>0.84901110786126111</v>
      </c>
      <c r="D211" t="s">
        <v>254</v>
      </c>
      <c r="E211" t="s">
        <v>13</v>
      </c>
      <c r="F211" t="s">
        <v>592</v>
      </c>
      <c r="G211">
        <v>2</v>
      </c>
      <c r="H211">
        <v>4</v>
      </c>
      <c r="I211">
        <v>0</v>
      </c>
      <c r="J211" t="s">
        <v>559</v>
      </c>
    </row>
    <row r="212" spans="1:10" x14ac:dyDescent="0.25">
      <c r="A212" t="s">
        <v>448</v>
      </c>
      <c r="B212">
        <v>46065</v>
      </c>
      <c r="C212">
        <v>0.74472461127428491</v>
      </c>
      <c r="D212" t="s">
        <v>104</v>
      </c>
      <c r="E212" t="s">
        <v>627</v>
      </c>
      <c r="F212" t="s">
        <v>594</v>
      </c>
      <c r="G212">
        <v>2</v>
      </c>
      <c r="H212">
        <v>4</v>
      </c>
      <c r="I212">
        <v>1</v>
      </c>
      <c r="J212" t="s">
        <v>553</v>
      </c>
    </row>
    <row r="213" spans="1:10" x14ac:dyDescent="0.25">
      <c r="A213" t="s">
        <v>449</v>
      </c>
      <c r="B213">
        <v>46135</v>
      </c>
      <c r="C213">
        <v>0.55276126921801472</v>
      </c>
      <c r="D213" t="s">
        <v>240</v>
      </c>
      <c r="E213" t="s">
        <v>627</v>
      </c>
      <c r="F213" t="s">
        <v>594</v>
      </c>
      <c r="G213">
        <v>1</v>
      </c>
      <c r="H213">
        <v>1</v>
      </c>
      <c r="I213">
        <v>1</v>
      </c>
      <c r="J213" t="s">
        <v>549</v>
      </c>
    </row>
    <row r="214" spans="1:10" x14ac:dyDescent="0.25">
      <c r="A214" t="s">
        <v>450</v>
      </c>
      <c r="B214">
        <v>46159</v>
      </c>
      <c r="C214">
        <v>0.55390069794235341</v>
      </c>
      <c r="D214" t="s">
        <v>268</v>
      </c>
      <c r="E214" t="s">
        <v>627</v>
      </c>
      <c r="F214" t="s">
        <v>600</v>
      </c>
      <c r="G214">
        <v>3</v>
      </c>
      <c r="H214">
        <v>3</v>
      </c>
      <c r="I214">
        <v>2</v>
      </c>
      <c r="J214" t="s">
        <v>549</v>
      </c>
    </row>
    <row r="215" spans="1:10" x14ac:dyDescent="0.25">
      <c r="A215" t="s">
        <v>451</v>
      </c>
      <c r="B215">
        <v>46068</v>
      </c>
      <c r="C215">
        <v>0.88486611321654007</v>
      </c>
      <c r="D215" t="s">
        <v>38</v>
      </c>
      <c r="E215" t="s">
        <v>545</v>
      </c>
      <c r="F215" t="s">
        <v>590</v>
      </c>
      <c r="G215">
        <v>2</v>
      </c>
      <c r="H215">
        <v>1</v>
      </c>
      <c r="I215">
        <v>2</v>
      </c>
      <c r="J215" t="s">
        <v>551</v>
      </c>
    </row>
    <row r="216" spans="1:10" x14ac:dyDescent="0.25">
      <c r="A216" t="s">
        <v>452</v>
      </c>
      <c r="B216">
        <v>46164</v>
      </c>
      <c r="C216">
        <v>0.11023929221324869</v>
      </c>
      <c r="D216" t="s">
        <v>54</v>
      </c>
      <c r="E216" t="s">
        <v>545</v>
      </c>
      <c r="F216" t="s">
        <v>600</v>
      </c>
      <c r="G216">
        <v>2</v>
      </c>
      <c r="H216">
        <v>3</v>
      </c>
      <c r="I216">
        <v>2</v>
      </c>
      <c r="J216" t="s">
        <v>549</v>
      </c>
    </row>
    <row r="217" spans="1:10" x14ac:dyDescent="0.25">
      <c r="A217" t="s">
        <v>453</v>
      </c>
      <c r="B217">
        <v>46038</v>
      </c>
      <c r="C217">
        <v>0.41126021261192092</v>
      </c>
      <c r="D217" t="s">
        <v>15</v>
      </c>
      <c r="E217" t="s">
        <v>545</v>
      </c>
      <c r="F217" t="s">
        <v>600</v>
      </c>
      <c r="G217">
        <v>3</v>
      </c>
      <c r="H217">
        <v>5</v>
      </c>
      <c r="I217">
        <v>2</v>
      </c>
      <c r="J217" t="s">
        <v>553</v>
      </c>
    </row>
    <row r="218" spans="1:10" x14ac:dyDescent="0.25">
      <c r="A218" t="s">
        <v>454</v>
      </c>
      <c r="B218">
        <v>46025</v>
      </c>
      <c r="C218">
        <v>0.15893561136739931</v>
      </c>
      <c r="D218" t="s">
        <v>10</v>
      </c>
      <c r="E218" t="s">
        <v>545</v>
      </c>
      <c r="F218" t="s">
        <v>588</v>
      </c>
      <c r="G218">
        <v>1</v>
      </c>
      <c r="H218">
        <v>2</v>
      </c>
      <c r="I218">
        <v>0</v>
      </c>
      <c r="J218" t="s">
        <v>553</v>
      </c>
    </row>
    <row r="219" spans="1:10" x14ac:dyDescent="0.25">
      <c r="A219" t="s">
        <v>455</v>
      </c>
      <c r="B219">
        <v>46175</v>
      </c>
      <c r="C219">
        <v>0.7080965171756386</v>
      </c>
      <c r="D219" t="s">
        <v>241</v>
      </c>
      <c r="E219" t="s">
        <v>627</v>
      </c>
      <c r="F219" t="s">
        <v>588</v>
      </c>
      <c r="G219">
        <v>3</v>
      </c>
      <c r="H219">
        <v>3</v>
      </c>
      <c r="I219">
        <v>1</v>
      </c>
      <c r="J219" t="s">
        <v>549</v>
      </c>
    </row>
    <row r="220" spans="1:10" x14ac:dyDescent="0.25">
      <c r="A220" t="s">
        <v>456</v>
      </c>
      <c r="B220">
        <v>46165</v>
      </c>
      <c r="C220">
        <v>0.24747199719322488</v>
      </c>
      <c r="D220" t="s">
        <v>58</v>
      </c>
      <c r="E220" t="s">
        <v>545</v>
      </c>
      <c r="F220" t="s">
        <v>598</v>
      </c>
      <c r="G220">
        <v>3</v>
      </c>
      <c r="H220">
        <v>5</v>
      </c>
      <c r="I220">
        <v>1</v>
      </c>
      <c r="J220" t="s">
        <v>553</v>
      </c>
    </row>
    <row r="221" spans="1:10" x14ac:dyDescent="0.25">
      <c r="A221" t="s">
        <v>457</v>
      </c>
      <c r="B221">
        <v>46105</v>
      </c>
      <c r="C221">
        <v>0.59521705817282877</v>
      </c>
      <c r="D221" t="s">
        <v>252</v>
      </c>
      <c r="E221" t="s">
        <v>540</v>
      </c>
      <c r="F221" t="s">
        <v>590</v>
      </c>
      <c r="G221">
        <v>2</v>
      </c>
      <c r="H221">
        <v>3</v>
      </c>
      <c r="I221">
        <v>0</v>
      </c>
      <c r="J221" t="s">
        <v>553</v>
      </c>
    </row>
    <row r="222" spans="1:10" x14ac:dyDescent="0.25">
      <c r="A222" t="s">
        <v>458</v>
      </c>
      <c r="B222">
        <v>46148</v>
      </c>
      <c r="C222">
        <v>0.46304163071690307</v>
      </c>
      <c r="D222" t="s">
        <v>268</v>
      </c>
      <c r="E222" t="s">
        <v>627</v>
      </c>
      <c r="F222" t="s">
        <v>588</v>
      </c>
      <c r="G222">
        <v>1</v>
      </c>
      <c r="H222">
        <v>3</v>
      </c>
      <c r="I222">
        <v>2</v>
      </c>
      <c r="J222" t="s">
        <v>549</v>
      </c>
    </row>
    <row r="223" spans="1:10" x14ac:dyDescent="0.25">
      <c r="A223" t="s">
        <v>522</v>
      </c>
      <c r="B223">
        <v>46190</v>
      </c>
      <c r="C223">
        <v>0.54855379343877764</v>
      </c>
      <c r="D223" t="s">
        <v>60</v>
      </c>
      <c r="E223" t="s">
        <v>540</v>
      </c>
      <c r="F223" t="s">
        <v>600</v>
      </c>
      <c r="G223">
        <v>2</v>
      </c>
      <c r="H223">
        <v>1</v>
      </c>
      <c r="I223">
        <v>1</v>
      </c>
      <c r="J223" t="s">
        <v>559</v>
      </c>
    </row>
    <row r="224" spans="1:10" x14ac:dyDescent="0.25">
      <c r="A224" t="s">
        <v>523</v>
      </c>
      <c r="B224">
        <v>46180</v>
      </c>
      <c r="C224">
        <v>0.68093978578318948</v>
      </c>
      <c r="D224" t="s">
        <v>84</v>
      </c>
      <c r="E224" t="s">
        <v>18</v>
      </c>
      <c r="F224" t="s">
        <v>590</v>
      </c>
      <c r="G224">
        <v>2</v>
      </c>
      <c r="H224">
        <v>2</v>
      </c>
      <c r="I224">
        <v>2</v>
      </c>
      <c r="J224" t="s">
        <v>559</v>
      </c>
    </row>
    <row r="225" spans="1:10" x14ac:dyDescent="0.25">
      <c r="A225" t="s">
        <v>461</v>
      </c>
      <c r="B225">
        <v>46194</v>
      </c>
      <c r="C225">
        <v>0.78842279238617985</v>
      </c>
      <c r="D225" t="s">
        <v>279</v>
      </c>
      <c r="E225" t="s">
        <v>540</v>
      </c>
      <c r="F225" t="s">
        <v>600</v>
      </c>
      <c r="G225">
        <v>1</v>
      </c>
      <c r="H225">
        <v>3</v>
      </c>
      <c r="I225">
        <v>2</v>
      </c>
      <c r="J225" t="s">
        <v>551</v>
      </c>
    </row>
    <row r="226" spans="1:10" x14ac:dyDescent="0.25">
      <c r="A226" t="s">
        <v>462</v>
      </c>
      <c r="B226">
        <v>46137</v>
      </c>
      <c r="C226">
        <v>0.59773159621812366</v>
      </c>
      <c r="D226" t="s">
        <v>58</v>
      </c>
      <c r="E226" t="s">
        <v>627</v>
      </c>
      <c r="F226" t="s">
        <v>600</v>
      </c>
      <c r="G226">
        <v>1</v>
      </c>
      <c r="H226">
        <v>1</v>
      </c>
      <c r="I226">
        <v>1</v>
      </c>
      <c r="J226" t="s">
        <v>549</v>
      </c>
    </row>
    <row r="227" spans="1:10" x14ac:dyDescent="0.25">
      <c r="A227" t="s">
        <v>463</v>
      </c>
      <c r="B227">
        <v>46119</v>
      </c>
      <c r="C227">
        <v>0.26385646393926199</v>
      </c>
      <c r="D227" t="s">
        <v>26</v>
      </c>
      <c r="E227" t="s">
        <v>545</v>
      </c>
      <c r="F227" t="s">
        <v>586</v>
      </c>
      <c r="G227">
        <v>1</v>
      </c>
      <c r="H227">
        <v>5</v>
      </c>
      <c r="I227">
        <v>1</v>
      </c>
      <c r="J227" t="s">
        <v>555</v>
      </c>
    </row>
    <row r="228" spans="1:10" x14ac:dyDescent="0.25">
      <c r="A228" t="s">
        <v>464</v>
      </c>
      <c r="B228">
        <v>46160</v>
      </c>
      <c r="C228">
        <v>0.63303233673749881</v>
      </c>
      <c r="D228" t="s">
        <v>24</v>
      </c>
      <c r="E228" t="s">
        <v>13</v>
      </c>
      <c r="F228" t="s">
        <v>596</v>
      </c>
      <c r="G228">
        <v>2</v>
      </c>
      <c r="H228">
        <v>4</v>
      </c>
      <c r="I228">
        <v>0</v>
      </c>
      <c r="J228" t="s">
        <v>555</v>
      </c>
    </row>
    <row r="229" spans="1:10" x14ac:dyDescent="0.25">
      <c r="A229" t="s">
        <v>465</v>
      </c>
      <c r="B229">
        <v>46218</v>
      </c>
      <c r="C229">
        <v>0.4805756007336035</v>
      </c>
      <c r="D229" t="s">
        <v>80</v>
      </c>
      <c r="E229" t="s">
        <v>545</v>
      </c>
      <c r="F229" t="s">
        <v>594</v>
      </c>
      <c r="G229">
        <v>2</v>
      </c>
      <c r="H229">
        <v>4</v>
      </c>
      <c r="I229">
        <v>0</v>
      </c>
      <c r="J229" t="s">
        <v>551</v>
      </c>
    </row>
    <row r="230" spans="1:10" x14ac:dyDescent="0.25">
      <c r="A230" t="s">
        <v>466</v>
      </c>
      <c r="B230">
        <v>46197</v>
      </c>
      <c r="C230">
        <v>1.4313763082152819E-2</v>
      </c>
      <c r="D230" t="s">
        <v>36</v>
      </c>
      <c r="E230" t="s">
        <v>627</v>
      </c>
      <c r="F230" t="s">
        <v>596</v>
      </c>
      <c r="G230">
        <v>2</v>
      </c>
      <c r="H230">
        <v>4</v>
      </c>
      <c r="I230">
        <v>2</v>
      </c>
      <c r="J230" t="s">
        <v>551</v>
      </c>
    </row>
    <row r="231" spans="1:10" x14ac:dyDescent="0.25">
      <c r="A231" t="s">
        <v>467</v>
      </c>
      <c r="B231">
        <v>46043</v>
      </c>
      <c r="C231">
        <v>0.5681256304778497</v>
      </c>
      <c r="D231" t="s">
        <v>94</v>
      </c>
      <c r="E231" t="s">
        <v>13</v>
      </c>
      <c r="F231" t="s">
        <v>590</v>
      </c>
      <c r="G231">
        <v>1</v>
      </c>
      <c r="H231">
        <v>5</v>
      </c>
      <c r="I231">
        <v>1</v>
      </c>
      <c r="J231" t="s">
        <v>549</v>
      </c>
    </row>
    <row r="232" spans="1:10" x14ac:dyDescent="0.25">
      <c r="A232" t="s">
        <v>37</v>
      </c>
      <c r="B232">
        <v>46046</v>
      </c>
      <c r="C232">
        <v>0.52689184631344199</v>
      </c>
      <c r="D232" t="s">
        <v>277</v>
      </c>
      <c r="E232" t="s">
        <v>13</v>
      </c>
      <c r="F232" t="s">
        <v>596</v>
      </c>
      <c r="G232">
        <v>2</v>
      </c>
      <c r="H232">
        <v>2</v>
      </c>
      <c r="I232">
        <v>1</v>
      </c>
      <c r="J232" t="s">
        <v>549</v>
      </c>
    </row>
    <row r="233" spans="1:10" x14ac:dyDescent="0.25">
      <c r="A233" t="s">
        <v>469</v>
      </c>
      <c r="B233">
        <v>46034</v>
      </c>
      <c r="C233">
        <v>0.58377307559510305</v>
      </c>
      <c r="D233" t="s">
        <v>28</v>
      </c>
      <c r="E233" t="s">
        <v>545</v>
      </c>
      <c r="F233" t="s">
        <v>590</v>
      </c>
      <c r="G233">
        <v>1</v>
      </c>
      <c r="H233">
        <v>2</v>
      </c>
      <c r="I233">
        <v>1</v>
      </c>
      <c r="J233" t="s">
        <v>557</v>
      </c>
    </row>
    <row r="234" spans="1:10" x14ac:dyDescent="0.25">
      <c r="A234" t="s">
        <v>470</v>
      </c>
      <c r="B234">
        <v>46222</v>
      </c>
      <c r="C234">
        <v>0.94269758615203514</v>
      </c>
      <c r="D234" t="s">
        <v>20</v>
      </c>
      <c r="E234" t="s">
        <v>18</v>
      </c>
      <c r="F234" t="s">
        <v>600</v>
      </c>
      <c r="G234">
        <v>1</v>
      </c>
      <c r="H234">
        <v>2</v>
      </c>
      <c r="I234">
        <v>0</v>
      </c>
      <c r="J234" t="s">
        <v>555</v>
      </c>
    </row>
    <row r="235" spans="1:10" x14ac:dyDescent="0.25">
      <c r="A235" t="s">
        <v>471</v>
      </c>
      <c r="B235">
        <v>46048</v>
      </c>
      <c r="C235">
        <v>0.25717772011942164</v>
      </c>
      <c r="D235" t="s">
        <v>44</v>
      </c>
      <c r="E235" t="s">
        <v>627</v>
      </c>
      <c r="F235" t="s">
        <v>596</v>
      </c>
      <c r="G235">
        <v>3</v>
      </c>
      <c r="H235">
        <v>2</v>
      </c>
      <c r="I235">
        <v>2</v>
      </c>
      <c r="J235" t="s">
        <v>549</v>
      </c>
    </row>
    <row r="236" spans="1:10" x14ac:dyDescent="0.25">
      <c r="A236" t="s">
        <v>472</v>
      </c>
      <c r="B236">
        <v>46027</v>
      </c>
      <c r="C236">
        <v>0.86776144539029676</v>
      </c>
      <c r="D236" t="s">
        <v>40</v>
      </c>
      <c r="E236" t="s">
        <v>18</v>
      </c>
      <c r="F236" t="s">
        <v>592</v>
      </c>
      <c r="G236">
        <v>2</v>
      </c>
      <c r="H236">
        <v>5</v>
      </c>
      <c r="I236">
        <v>2</v>
      </c>
      <c r="J236" t="s">
        <v>549</v>
      </c>
    </row>
    <row r="237" spans="1:10" x14ac:dyDescent="0.25">
      <c r="A237" t="s">
        <v>473</v>
      </c>
      <c r="B237">
        <v>46191</v>
      </c>
      <c r="C237">
        <v>0.9049182535412803</v>
      </c>
      <c r="D237" t="s">
        <v>108</v>
      </c>
      <c r="E237" t="s">
        <v>13</v>
      </c>
      <c r="F237" t="s">
        <v>600</v>
      </c>
      <c r="G237">
        <v>1</v>
      </c>
      <c r="H237">
        <v>5</v>
      </c>
      <c r="I237">
        <v>0</v>
      </c>
      <c r="J237" t="s">
        <v>555</v>
      </c>
    </row>
    <row r="238" spans="1:10" x14ac:dyDescent="0.25">
      <c r="A238" t="s">
        <v>474</v>
      </c>
      <c r="B238">
        <v>46224</v>
      </c>
      <c r="C238">
        <v>0.79952406763015094</v>
      </c>
      <c r="D238" t="s">
        <v>277</v>
      </c>
      <c r="E238" t="s">
        <v>540</v>
      </c>
      <c r="F238" t="s">
        <v>586</v>
      </c>
      <c r="G238">
        <v>2</v>
      </c>
      <c r="H238">
        <v>4</v>
      </c>
      <c r="I238">
        <v>0</v>
      </c>
      <c r="J238" t="s">
        <v>553</v>
      </c>
    </row>
    <row r="239" spans="1:10" x14ac:dyDescent="0.25">
      <c r="A239" t="s">
        <v>475</v>
      </c>
      <c r="B239">
        <v>46095</v>
      </c>
      <c r="C239">
        <v>0.76515367602028894</v>
      </c>
      <c r="D239" t="s">
        <v>271</v>
      </c>
      <c r="E239" t="s">
        <v>13</v>
      </c>
      <c r="F239" t="s">
        <v>588</v>
      </c>
      <c r="G239">
        <v>3</v>
      </c>
      <c r="H239">
        <v>1</v>
      </c>
      <c r="I239">
        <v>1</v>
      </c>
      <c r="J239" t="s">
        <v>553</v>
      </c>
    </row>
    <row r="240" spans="1:10" x14ac:dyDescent="0.25">
      <c r="A240" t="s">
        <v>41</v>
      </c>
      <c r="B240">
        <v>46037</v>
      </c>
      <c r="C240">
        <v>0.36410228387519328</v>
      </c>
      <c r="D240" t="s">
        <v>250</v>
      </c>
      <c r="E240" t="s">
        <v>540</v>
      </c>
      <c r="F240" t="s">
        <v>588</v>
      </c>
      <c r="G240">
        <v>1</v>
      </c>
      <c r="H240">
        <v>1</v>
      </c>
      <c r="I240">
        <v>1</v>
      </c>
      <c r="J240" t="s">
        <v>553</v>
      </c>
    </row>
    <row r="241" spans="1:10" x14ac:dyDescent="0.25">
      <c r="A241" t="s">
        <v>477</v>
      </c>
      <c r="B241">
        <v>46030</v>
      </c>
      <c r="C241">
        <v>0.68978800830111331</v>
      </c>
      <c r="D241" t="s">
        <v>94</v>
      </c>
      <c r="E241" t="s">
        <v>545</v>
      </c>
      <c r="F241" t="s">
        <v>592</v>
      </c>
      <c r="G241">
        <v>2</v>
      </c>
      <c r="H241">
        <v>2</v>
      </c>
      <c r="I241">
        <v>0</v>
      </c>
      <c r="J241" t="s">
        <v>557</v>
      </c>
    </row>
    <row r="242" spans="1:10" x14ac:dyDescent="0.25">
      <c r="A242" t="s">
        <v>478</v>
      </c>
      <c r="B242">
        <v>46069</v>
      </c>
      <c r="C242">
        <v>0.10784531082405968</v>
      </c>
      <c r="D242" t="s">
        <v>66</v>
      </c>
      <c r="E242" t="s">
        <v>13</v>
      </c>
      <c r="F242" t="s">
        <v>588</v>
      </c>
      <c r="G242">
        <v>2</v>
      </c>
      <c r="H242">
        <v>4</v>
      </c>
      <c r="I242">
        <v>1</v>
      </c>
      <c r="J242" t="s">
        <v>549</v>
      </c>
    </row>
    <row r="243" spans="1:10" x14ac:dyDescent="0.25">
      <c r="A243" t="s">
        <v>479</v>
      </c>
      <c r="B243">
        <v>46043</v>
      </c>
      <c r="C243">
        <v>0.47528546481960499</v>
      </c>
      <c r="D243" t="s">
        <v>110</v>
      </c>
      <c r="E243" t="s">
        <v>13</v>
      </c>
      <c r="F243" t="s">
        <v>586</v>
      </c>
      <c r="G243">
        <v>2</v>
      </c>
      <c r="H243">
        <v>3</v>
      </c>
      <c r="I243">
        <v>2</v>
      </c>
      <c r="J243" t="s">
        <v>551</v>
      </c>
    </row>
    <row r="244" spans="1:10" x14ac:dyDescent="0.25">
      <c r="A244" t="s">
        <v>480</v>
      </c>
      <c r="B244">
        <v>46179</v>
      </c>
      <c r="C244">
        <v>3.9477165898978206E-2</v>
      </c>
      <c r="D244" t="s">
        <v>66</v>
      </c>
      <c r="E244" t="s">
        <v>545</v>
      </c>
      <c r="F244" t="s">
        <v>588</v>
      </c>
      <c r="G244">
        <v>2</v>
      </c>
      <c r="H244">
        <v>2</v>
      </c>
      <c r="I244">
        <v>2</v>
      </c>
      <c r="J244" t="s">
        <v>549</v>
      </c>
    </row>
    <row r="245" spans="1:10" x14ac:dyDescent="0.25">
      <c r="A245" t="s">
        <v>481</v>
      </c>
      <c r="B245">
        <v>46103</v>
      </c>
      <c r="C245">
        <v>0.46577805512161097</v>
      </c>
      <c r="D245" t="s">
        <v>15</v>
      </c>
      <c r="E245" t="s">
        <v>13</v>
      </c>
      <c r="F245" t="s">
        <v>592</v>
      </c>
      <c r="G245">
        <v>3</v>
      </c>
      <c r="H245">
        <v>2</v>
      </c>
      <c r="I245">
        <v>1</v>
      </c>
      <c r="J245" t="s">
        <v>555</v>
      </c>
    </row>
    <row r="246" spans="1:10" x14ac:dyDescent="0.25">
      <c r="A246" t="s">
        <v>482</v>
      </c>
      <c r="B246">
        <v>46082</v>
      </c>
      <c r="C246">
        <v>7.622467507083075E-2</v>
      </c>
      <c r="D246" t="s">
        <v>10</v>
      </c>
      <c r="E246" t="s">
        <v>627</v>
      </c>
      <c r="F246" t="s">
        <v>588</v>
      </c>
      <c r="G246">
        <v>2</v>
      </c>
      <c r="H246">
        <v>5</v>
      </c>
      <c r="I246">
        <v>1</v>
      </c>
      <c r="J246" t="s">
        <v>553</v>
      </c>
    </row>
    <row r="247" spans="1:10" x14ac:dyDescent="0.25">
      <c r="A247" t="s">
        <v>483</v>
      </c>
      <c r="B247">
        <v>46026</v>
      </c>
      <c r="C247">
        <v>0.11875935395348847</v>
      </c>
      <c r="D247" t="s">
        <v>24</v>
      </c>
      <c r="E247" t="s">
        <v>13</v>
      </c>
      <c r="F247" t="s">
        <v>600</v>
      </c>
      <c r="G247">
        <v>1</v>
      </c>
      <c r="H247">
        <v>5</v>
      </c>
      <c r="I247">
        <v>0</v>
      </c>
      <c r="J247" t="s">
        <v>549</v>
      </c>
    </row>
    <row r="248" spans="1:10" x14ac:dyDescent="0.25">
      <c r="A248" t="s">
        <v>484</v>
      </c>
      <c r="B248">
        <v>46046</v>
      </c>
      <c r="C248">
        <v>0.84795237452644645</v>
      </c>
      <c r="D248" t="s">
        <v>261</v>
      </c>
      <c r="E248" t="s">
        <v>540</v>
      </c>
      <c r="F248" t="s">
        <v>596</v>
      </c>
      <c r="G248">
        <v>3</v>
      </c>
      <c r="H248">
        <v>4</v>
      </c>
      <c r="I248">
        <v>2</v>
      </c>
      <c r="J248" t="s">
        <v>549</v>
      </c>
    </row>
    <row r="249" spans="1:10" x14ac:dyDescent="0.25">
      <c r="A249" t="s">
        <v>485</v>
      </c>
      <c r="B249">
        <v>46223</v>
      </c>
      <c r="C249">
        <v>0.48424147116028693</v>
      </c>
      <c r="D249" t="s">
        <v>267</v>
      </c>
      <c r="E249" t="s">
        <v>13</v>
      </c>
      <c r="F249" t="s">
        <v>600</v>
      </c>
      <c r="G249">
        <v>1</v>
      </c>
      <c r="H249">
        <v>3</v>
      </c>
      <c r="I249">
        <v>0</v>
      </c>
      <c r="J249" t="s">
        <v>557</v>
      </c>
    </row>
    <row r="250" spans="1:10" x14ac:dyDescent="0.25">
      <c r="A250" t="s">
        <v>486</v>
      </c>
      <c r="B250">
        <v>46179</v>
      </c>
      <c r="C250">
        <v>0.89850128694093756</v>
      </c>
      <c r="D250" t="s">
        <v>34</v>
      </c>
      <c r="E250" t="s">
        <v>13</v>
      </c>
      <c r="F250" t="s">
        <v>590</v>
      </c>
      <c r="G250">
        <v>2</v>
      </c>
      <c r="H250">
        <v>3</v>
      </c>
      <c r="I250">
        <v>0</v>
      </c>
      <c r="J250" t="s">
        <v>555</v>
      </c>
    </row>
    <row r="251" spans="1:10" x14ac:dyDescent="0.25">
      <c r="A251" t="s">
        <v>79</v>
      </c>
      <c r="B251">
        <v>46121</v>
      </c>
      <c r="C251">
        <v>7.4830514653049574E-2</v>
      </c>
      <c r="D251" t="s">
        <v>251</v>
      </c>
      <c r="E251" t="s">
        <v>18</v>
      </c>
      <c r="F251" t="s">
        <v>592</v>
      </c>
      <c r="G251">
        <v>2</v>
      </c>
      <c r="H251">
        <v>1</v>
      </c>
      <c r="I251">
        <v>0</v>
      </c>
      <c r="J251" t="s">
        <v>557</v>
      </c>
    </row>
    <row r="252" spans="1:10" x14ac:dyDescent="0.25">
      <c r="A252" t="s">
        <v>109</v>
      </c>
      <c r="B252">
        <v>46179</v>
      </c>
      <c r="C252">
        <v>4.3887971650919844E-2</v>
      </c>
      <c r="D252" t="s">
        <v>266</v>
      </c>
      <c r="E252" t="s">
        <v>540</v>
      </c>
      <c r="F252" t="s">
        <v>588</v>
      </c>
      <c r="G252">
        <v>1</v>
      </c>
      <c r="H252">
        <v>2</v>
      </c>
      <c r="I252">
        <v>2</v>
      </c>
      <c r="J252" t="s">
        <v>557</v>
      </c>
    </row>
    <row r="253" spans="1:10" x14ac:dyDescent="0.25">
      <c r="A253" t="s">
        <v>489</v>
      </c>
      <c r="B253">
        <v>46080</v>
      </c>
      <c r="C253">
        <v>8.036372087526733E-2</v>
      </c>
      <c r="D253" t="s">
        <v>72</v>
      </c>
      <c r="E253" t="s">
        <v>18</v>
      </c>
      <c r="F253" t="s">
        <v>592</v>
      </c>
      <c r="G253">
        <v>2</v>
      </c>
      <c r="H253">
        <v>4</v>
      </c>
      <c r="I253">
        <v>0</v>
      </c>
      <c r="J253" t="s">
        <v>549</v>
      </c>
    </row>
    <row r="254" spans="1:10" x14ac:dyDescent="0.25">
      <c r="A254" t="s">
        <v>490</v>
      </c>
      <c r="B254">
        <v>46031</v>
      </c>
      <c r="C254">
        <v>0.66995583688137406</v>
      </c>
      <c r="D254" t="s">
        <v>261</v>
      </c>
      <c r="E254" t="s">
        <v>545</v>
      </c>
      <c r="F254" t="s">
        <v>592</v>
      </c>
      <c r="G254">
        <v>3</v>
      </c>
      <c r="H254">
        <v>3</v>
      </c>
      <c r="I254">
        <v>0</v>
      </c>
      <c r="J254" t="s">
        <v>559</v>
      </c>
    </row>
    <row r="255" spans="1:10" x14ac:dyDescent="0.25">
      <c r="A255" t="s">
        <v>491</v>
      </c>
      <c r="B255">
        <v>46030</v>
      </c>
      <c r="C255">
        <v>0.60497895590203921</v>
      </c>
      <c r="D255" t="s">
        <v>68</v>
      </c>
      <c r="E255" t="s">
        <v>540</v>
      </c>
      <c r="F255" t="s">
        <v>600</v>
      </c>
      <c r="G255">
        <v>1</v>
      </c>
      <c r="H255">
        <v>5</v>
      </c>
      <c r="I255">
        <v>2</v>
      </c>
      <c r="J255" t="s">
        <v>553</v>
      </c>
    </row>
    <row r="256" spans="1:10" x14ac:dyDescent="0.25">
      <c r="A256" t="s">
        <v>492</v>
      </c>
      <c r="B256">
        <v>46219</v>
      </c>
      <c r="C256">
        <v>0.74093129437533689</v>
      </c>
      <c r="D256" t="s">
        <v>277</v>
      </c>
      <c r="E256" t="s">
        <v>545</v>
      </c>
      <c r="F256" t="s">
        <v>594</v>
      </c>
      <c r="G256">
        <v>2</v>
      </c>
      <c r="H256">
        <v>1</v>
      </c>
      <c r="I256">
        <v>2</v>
      </c>
      <c r="J256" t="s">
        <v>557</v>
      </c>
    </row>
    <row r="257" spans="1:10" x14ac:dyDescent="0.25">
      <c r="A257" t="s">
        <v>493</v>
      </c>
      <c r="B257">
        <v>46049</v>
      </c>
      <c r="C257">
        <v>0.19199429269452017</v>
      </c>
      <c r="D257" t="s">
        <v>34</v>
      </c>
      <c r="E257" t="s">
        <v>540</v>
      </c>
      <c r="F257" t="s">
        <v>598</v>
      </c>
      <c r="G257">
        <v>2</v>
      </c>
      <c r="H257">
        <v>3</v>
      </c>
      <c r="I257">
        <v>2</v>
      </c>
      <c r="J257" t="s">
        <v>559</v>
      </c>
    </row>
    <row r="258" spans="1:10" x14ac:dyDescent="0.25">
      <c r="A258" t="s">
        <v>494</v>
      </c>
      <c r="B258">
        <v>46038</v>
      </c>
      <c r="C258">
        <v>0.73240944693941457</v>
      </c>
      <c r="D258" t="s">
        <v>10</v>
      </c>
      <c r="E258" t="s">
        <v>13</v>
      </c>
      <c r="F258" t="s">
        <v>588</v>
      </c>
      <c r="G258">
        <v>2</v>
      </c>
      <c r="H258">
        <v>5</v>
      </c>
      <c r="I258">
        <v>0</v>
      </c>
      <c r="J258" t="s">
        <v>557</v>
      </c>
    </row>
    <row r="259" spans="1:10" x14ac:dyDescent="0.25">
      <c r="A259" t="s">
        <v>495</v>
      </c>
      <c r="B259">
        <v>46137</v>
      </c>
      <c r="C259">
        <v>0.78340035491532289</v>
      </c>
      <c r="D259" t="s">
        <v>266</v>
      </c>
      <c r="E259" t="s">
        <v>545</v>
      </c>
      <c r="F259" t="s">
        <v>598</v>
      </c>
      <c r="G259">
        <v>3</v>
      </c>
      <c r="H259">
        <v>3</v>
      </c>
      <c r="I259">
        <v>0</v>
      </c>
      <c r="J259" t="s">
        <v>551</v>
      </c>
    </row>
    <row r="260" spans="1:10" x14ac:dyDescent="0.25">
      <c r="A260" t="s">
        <v>496</v>
      </c>
      <c r="B260">
        <v>46114</v>
      </c>
      <c r="C260">
        <v>0.23955913776654481</v>
      </c>
      <c r="D260" t="s">
        <v>12</v>
      </c>
      <c r="E260" t="s">
        <v>540</v>
      </c>
      <c r="F260" t="s">
        <v>588</v>
      </c>
      <c r="G260">
        <v>2</v>
      </c>
      <c r="H260">
        <v>5</v>
      </c>
      <c r="I260">
        <v>2</v>
      </c>
      <c r="J260" t="s">
        <v>555</v>
      </c>
    </row>
    <row r="261" spans="1:10" x14ac:dyDescent="0.25">
      <c r="A261" t="s">
        <v>497</v>
      </c>
      <c r="B261">
        <v>46106</v>
      </c>
      <c r="C261">
        <v>0.55812417696462779</v>
      </c>
      <c r="D261" t="s">
        <v>269</v>
      </c>
      <c r="E261" t="s">
        <v>540</v>
      </c>
      <c r="F261" t="s">
        <v>596</v>
      </c>
      <c r="G261">
        <v>2</v>
      </c>
      <c r="H261">
        <v>3</v>
      </c>
      <c r="I261">
        <v>0</v>
      </c>
      <c r="J261" t="s">
        <v>553</v>
      </c>
    </row>
    <row r="262" spans="1:10" x14ac:dyDescent="0.25">
      <c r="A262" t="s">
        <v>498</v>
      </c>
      <c r="B262">
        <v>46047</v>
      </c>
      <c r="C262">
        <v>0.32974121714291882</v>
      </c>
      <c r="D262" t="s">
        <v>264</v>
      </c>
      <c r="E262" t="s">
        <v>18</v>
      </c>
      <c r="F262" t="s">
        <v>596</v>
      </c>
      <c r="G262">
        <v>1</v>
      </c>
      <c r="H262">
        <v>4</v>
      </c>
      <c r="I262">
        <v>1</v>
      </c>
      <c r="J262" t="s">
        <v>559</v>
      </c>
    </row>
    <row r="263" spans="1:10" x14ac:dyDescent="0.25">
      <c r="A263" t="s">
        <v>499</v>
      </c>
      <c r="B263">
        <v>46217</v>
      </c>
      <c r="C263">
        <v>0.63834477712087057</v>
      </c>
      <c r="D263" t="s">
        <v>265</v>
      </c>
      <c r="E263" t="s">
        <v>540</v>
      </c>
      <c r="F263" t="s">
        <v>600</v>
      </c>
      <c r="G263">
        <v>1</v>
      </c>
      <c r="H263">
        <v>3</v>
      </c>
      <c r="I263">
        <v>0</v>
      </c>
      <c r="J263" t="s">
        <v>551</v>
      </c>
    </row>
    <row r="264" spans="1:10" x14ac:dyDescent="0.25">
      <c r="A264" t="s">
        <v>500</v>
      </c>
      <c r="B264">
        <v>46138</v>
      </c>
      <c r="C264">
        <v>0.27359447745182752</v>
      </c>
      <c r="D264" t="s">
        <v>271</v>
      </c>
      <c r="E264" t="s">
        <v>13</v>
      </c>
      <c r="F264" t="s">
        <v>592</v>
      </c>
      <c r="G264">
        <v>2</v>
      </c>
      <c r="H264">
        <v>4</v>
      </c>
      <c r="I264">
        <v>0</v>
      </c>
      <c r="J264" t="s">
        <v>555</v>
      </c>
    </row>
    <row r="265" spans="1:10" x14ac:dyDescent="0.25">
      <c r="A265" t="s">
        <v>501</v>
      </c>
      <c r="B265">
        <v>46098</v>
      </c>
      <c r="C265">
        <v>0.92200351451254658</v>
      </c>
      <c r="D265" t="s">
        <v>260</v>
      </c>
      <c r="E265" t="s">
        <v>18</v>
      </c>
      <c r="F265" t="s">
        <v>596</v>
      </c>
      <c r="G265">
        <v>1</v>
      </c>
      <c r="H265">
        <v>1</v>
      </c>
      <c r="I265">
        <v>0</v>
      </c>
      <c r="J265" t="s">
        <v>553</v>
      </c>
    </row>
    <row r="266" spans="1:10" x14ac:dyDescent="0.25">
      <c r="A266" t="s">
        <v>502</v>
      </c>
      <c r="B266">
        <v>46123</v>
      </c>
      <c r="C266">
        <v>0.24495165793806051</v>
      </c>
      <c r="D266" t="s">
        <v>24</v>
      </c>
      <c r="E266" t="s">
        <v>13</v>
      </c>
      <c r="F266" t="s">
        <v>586</v>
      </c>
      <c r="G266">
        <v>1</v>
      </c>
      <c r="H266">
        <v>2</v>
      </c>
      <c r="I266">
        <v>1</v>
      </c>
      <c r="J266" t="s">
        <v>557</v>
      </c>
    </row>
    <row r="267" spans="1:10" x14ac:dyDescent="0.25">
      <c r="A267" t="s">
        <v>503</v>
      </c>
      <c r="B267">
        <v>46181</v>
      </c>
      <c r="C267">
        <v>0.60218662974787562</v>
      </c>
      <c r="D267" t="s">
        <v>251</v>
      </c>
      <c r="E267" t="s">
        <v>545</v>
      </c>
      <c r="F267" t="s">
        <v>592</v>
      </c>
      <c r="G267">
        <v>1</v>
      </c>
      <c r="H267">
        <v>5</v>
      </c>
      <c r="I267">
        <v>1</v>
      </c>
      <c r="J267" t="s">
        <v>551</v>
      </c>
    </row>
    <row r="268" spans="1:10" x14ac:dyDescent="0.25">
      <c r="A268" t="s">
        <v>199</v>
      </c>
      <c r="B268">
        <v>46189</v>
      </c>
      <c r="C268">
        <v>0.73550965869089791</v>
      </c>
      <c r="D268" t="s">
        <v>30</v>
      </c>
      <c r="E268" t="s">
        <v>540</v>
      </c>
      <c r="F268" t="s">
        <v>592</v>
      </c>
      <c r="G268">
        <v>2</v>
      </c>
      <c r="H268">
        <v>1</v>
      </c>
      <c r="I268">
        <v>1</v>
      </c>
      <c r="J268" t="s">
        <v>549</v>
      </c>
    </row>
    <row r="269" spans="1:10" x14ac:dyDescent="0.25">
      <c r="A269" t="s">
        <v>505</v>
      </c>
      <c r="B269">
        <v>46035</v>
      </c>
      <c r="C269">
        <v>0.46699891504198476</v>
      </c>
      <c r="D269" t="s">
        <v>82</v>
      </c>
      <c r="E269" t="s">
        <v>540</v>
      </c>
      <c r="F269" t="s">
        <v>598</v>
      </c>
      <c r="G269">
        <v>1</v>
      </c>
      <c r="H269">
        <v>3</v>
      </c>
      <c r="I269">
        <v>2</v>
      </c>
      <c r="J269" t="s">
        <v>553</v>
      </c>
    </row>
    <row r="270" spans="1:10" x14ac:dyDescent="0.25">
      <c r="A270" t="s">
        <v>506</v>
      </c>
      <c r="B270">
        <v>46131</v>
      </c>
      <c r="C270">
        <v>0.80528402672981603</v>
      </c>
      <c r="D270" t="s">
        <v>48</v>
      </c>
      <c r="E270" t="s">
        <v>627</v>
      </c>
      <c r="F270" t="s">
        <v>586</v>
      </c>
      <c r="G270">
        <v>3</v>
      </c>
      <c r="H270">
        <v>3</v>
      </c>
      <c r="I270">
        <v>2</v>
      </c>
      <c r="J270" t="s">
        <v>559</v>
      </c>
    </row>
    <row r="271" spans="1:10" x14ac:dyDescent="0.25">
      <c r="A271" t="s">
        <v>507</v>
      </c>
      <c r="B271">
        <v>46026</v>
      </c>
      <c r="C271">
        <v>0.67600625676266146</v>
      </c>
      <c r="D271" t="s">
        <v>277</v>
      </c>
      <c r="E271" t="s">
        <v>18</v>
      </c>
      <c r="F271" t="s">
        <v>588</v>
      </c>
      <c r="G271">
        <v>3</v>
      </c>
      <c r="H271">
        <v>5</v>
      </c>
      <c r="I271">
        <v>0</v>
      </c>
      <c r="J271" t="s">
        <v>555</v>
      </c>
    </row>
    <row r="272" spans="1:10" x14ac:dyDescent="0.25">
      <c r="A272" t="s">
        <v>508</v>
      </c>
      <c r="B272">
        <v>46060</v>
      </c>
      <c r="C272">
        <v>0.65559962310987285</v>
      </c>
      <c r="D272" t="s">
        <v>248</v>
      </c>
      <c r="E272" t="s">
        <v>627</v>
      </c>
      <c r="F272" t="s">
        <v>594</v>
      </c>
      <c r="G272">
        <v>1</v>
      </c>
      <c r="H272">
        <v>1</v>
      </c>
      <c r="I272">
        <v>1</v>
      </c>
      <c r="J272" t="s">
        <v>559</v>
      </c>
    </row>
    <row r="273" spans="1:10" x14ac:dyDescent="0.25">
      <c r="A273" t="s">
        <v>509</v>
      </c>
      <c r="B273">
        <v>46087</v>
      </c>
      <c r="C273">
        <v>0.18420626177556065</v>
      </c>
      <c r="D273" t="s">
        <v>274</v>
      </c>
      <c r="E273" t="s">
        <v>13</v>
      </c>
      <c r="F273" t="s">
        <v>588</v>
      </c>
      <c r="G273">
        <v>2</v>
      </c>
      <c r="H273">
        <v>1</v>
      </c>
      <c r="I273">
        <v>2</v>
      </c>
      <c r="J273" t="s">
        <v>555</v>
      </c>
    </row>
    <row r="274" spans="1:10" x14ac:dyDescent="0.25">
      <c r="A274" t="s">
        <v>510</v>
      </c>
      <c r="B274">
        <v>46072</v>
      </c>
      <c r="C274">
        <v>0.94714591929329928</v>
      </c>
      <c r="D274" t="s">
        <v>15</v>
      </c>
      <c r="E274" t="s">
        <v>18</v>
      </c>
      <c r="F274" t="s">
        <v>598</v>
      </c>
      <c r="G274">
        <v>3</v>
      </c>
      <c r="H274">
        <v>4</v>
      </c>
      <c r="I274">
        <v>2</v>
      </c>
      <c r="J274" t="s">
        <v>549</v>
      </c>
    </row>
    <row r="275" spans="1:10" x14ac:dyDescent="0.25">
      <c r="A275" t="s">
        <v>511</v>
      </c>
      <c r="B275">
        <v>46225</v>
      </c>
      <c r="C275">
        <v>3.0953930670562513E-2</v>
      </c>
      <c r="D275" t="s">
        <v>42</v>
      </c>
      <c r="E275" t="s">
        <v>627</v>
      </c>
      <c r="F275" t="s">
        <v>592</v>
      </c>
      <c r="G275">
        <v>3</v>
      </c>
      <c r="H275">
        <v>3</v>
      </c>
      <c r="I275">
        <v>1</v>
      </c>
      <c r="J275" t="s">
        <v>555</v>
      </c>
    </row>
    <row r="276" spans="1:10" x14ac:dyDescent="0.25">
      <c r="A276" t="s">
        <v>512</v>
      </c>
      <c r="B276">
        <v>46134</v>
      </c>
      <c r="C276">
        <v>0.27542246990673003</v>
      </c>
      <c r="D276" t="s">
        <v>249</v>
      </c>
      <c r="E276" t="s">
        <v>627</v>
      </c>
      <c r="F276" t="s">
        <v>598</v>
      </c>
      <c r="G276">
        <v>2</v>
      </c>
      <c r="H276">
        <v>4</v>
      </c>
      <c r="I276">
        <v>2</v>
      </c>
      <c r="J276" t="s">
        <v>555</v>
      </c>
    </row>
    <row r="277" spans="1:10" x14ac:dyDescent="0.25">
      <c r="A277" t="s">
        <v>513</v>
      </c>
      <c r="B277">
        <v>46140</v>
      </c>
      <c r="C277">
        <v>0.80888874921949838</v>
      </c>
      <c r="D277" t="s">
        <v>281</v>
      </c>
      <c r="E277" t="s">
        <v>540</v>
      </c>
      <c r="F277" t="s">
        <v>598</v>
      </c>
      <c r="G277">
        <v>1</v>
      </c>
      <c r="H277">
        <v>1</v>
      </c>
      <c r="I277">
        <v>1</v>
      </c>
      <c r="J277" t="s">
        <v>559</v>
      </c>
    </row>
    <row r="278" spans="1:10" x14ac:dyDescent="0.25">
      <c r="A278" t="s">
        <v>514</v>
      </c>
      <c r="B278">
        <v>46215</v>
      </c>
      <c r="C278">
        <v>0.89523851219762651</v>
      </c>
      <c r="D278" t="s">
        <v>94</v>
      </c>
      <c r="E278" t="s">
        <v>627</v>
      </c>
      <c r="F278" t="s">
        <v>594</v>
      </c>
      <c r="G278">
        <v>2</v>
      </c>
      <c r="H278">
        <v>1</v>
      </c>
      <c r="I278">
        <v>2</v>
      </c>
      <c r="J278" t="s">
        <v>555</v>
      </c>
    </row>
    <row r="279" spans="1:10" x14ac:dyDescent="0.25">
      <c r="A279" t="s">
        <v>515</v>
      </c>
      <c r="B279">
        <v>46180</v>
      </c>
      <c r="C279">
        <v>0.62550139249183279</v>
      </c>
      <c r="D279" t="s">
        <v>78</v>
      </c>
      <c r="E279" t="s">
        <v>540</v>
      </c>
      <c r="F279" t="s">
        <v>596</v>
      </c>
      <c r="G279">
        <v>3</v>
      </c>
      <c r="H279">
        <v>3</v>
      </c>
      <c r="I279">
        <v>0</v>
      </c>
      <c r="J279" t="s">
        <v>553</v>
      </c>
    </row>
    <row r="280" spans="1:10" x14ac:dyDescent="0.25">
      <c r="A280" t="s">
        <v>516</v>
      </c>
      <c r="B280">
        <v>46051</v>
      </c>
      <c r="C280">
        <v>0.75532480710501204</v>
      </c>
      <c r="D280" t="s">
        <v>78</v>
      </c>
      <c r="E280" t="s">
        <v>540</v>
      </c>
      <c r="F280" t="s">
        <v>598</v>
      </c>
      <c r="G280">
        <v>1</v>
      </c>
      <c r="H280">
        <v>4</v>
      </c>
      <c r="I280">
        <v>1</v>
      </c>
      <c r="J280" t="s">
        <v>559</v>
      </c>
    </row>
    <row r="281" spans="1:10" x14ac:dyDescent="0.25">
      <c r="A281" t="s">
        <v>517</v>
      </c>
      <c r="B281">
        <v>46107</v>
      </c>
      <c r="C281">
        <v>0.49580058815157024</v>
      </c>
      <c r="D281" t="s">
        <v>250</v>
      </c>
      <c r="E281" t="s">
        <v>545</v>
      </c>
      <c r="F281" t="s">
        <v>586</v>
      </c>
      <c r="G281">
        <v>2</v>
      </c>
      <c r="H281">
        <v>1</v>
      </c>
      <c r="I281">
        <v>0</v>
      </c>
      <c r="J281" t="s">
        <v>553</v>
      </c>
    </row>
    <row r="282" spans="1:10" x14ac:dyDescent="0.25">
      <c r="A282" t="s">
        <v>518</v>
      </c>
      <c r="B282">
        <v>46098</v>
      </c>
      <c r="C282">
        <v>0.77652656717579138</v>
      </c>
      <c r="D282" t="s">
        <v>263</v>
      </c>
      <c r="E282" t="s">
        <v>545</v>
      </c>
      <c r="F282" t="s">
        <v>590</v>
      </c>
      <c r="G282">
        <v>2</v>
      </c>
      <c r="H282">
        <v>4</v>
      </c>
      <c r="I282">
        <v>2</v>
      </c>
      <c r="J282" t="s">
        <v>551</v>
      </c>
    </row>
    <row r="283" spans="1:10" x14ac:dyDescent="0.25">
      <c r="A283" t="s">
        <v>519</v>
      </c>
      <c r="B283">
        <v>46144</v>
      </c>
      <c r="C283">
        <v>0.16999485217062982</v>
      </c>
      <c r="D283" t="s">
        <v>88</v>
      </c>
      <c r="E283" t="s">
        <v>627</v>
      </c>
      <c r="F283" t="s">
        <v>594</v>
      </c>
      <c r="G283">
        <v>2</v>
      </c>
      <c r="H283">
        <v>4</v>
      </c>
      <c r="I283">
        <v>2</v>
      </c>
      <c r="J283" t="s">
        <v>557</v>
      </c>
    </row>
    <row r="284" spans="1:10" x14ac:dyDescent="0.25">
      <c r="A284" t="s">
        <v>520</v>
      </c>
      <c r="B284">
        <v>46197</v>
      </c>
      <c r="C284">
        <v>0.25242916743242638</v>
      </c>
      <c r="D284" t="s">
        <v>26</v>
      </c>
      <c r="E284" t="s">
        <v>627</v>
      </c>
      <c r="F284" t="s">
        <v>598</v>
      </c>
      <c r="G284">
        <v>2</v>
      </c>
      <c r="H284">
        <v>3</v>
      </c>
      <c r="I284">
        <v>1</v>
      </c>
      <c r="J284" t="s">
        <v>551</v>
      </c>
    </row>
    <row r="285" spans="1:10" x14ac:dyDescent="0.25">
      <c r="A285" t="s">
        <v>521</v>
      </c>
      <c r="B285">
        <v>46142</v>
      </c>
      <c r="C285">
        <v>1.5191193011086845E-2</v>
      </c>
      <c r="D285" t="s">
        <v>92</v>
      </c>
      <c r="E285" t="s">
        <v>13</v>
      </c>
      <c r="F285" t="s">
        <v>586</v>
      </c>
      <c r="G285">
        <v>2</v>
      </c>
      <c r="H285">
        <v>4</v>
      </c>
      <c r="I285">
        <v>0</v>
      </c>
      <c r="J285" t="s">
        <v>551</v>
      </c>
    </row>
    <row r="286" spans="1:10" x14ac:dyDescent="0.25">
      <c r="A286" t="s">
        <v>407</v>
      </c>
      <c r="B286">
        <v>46033</v>
      </c>
      <c r="C286">
        <v>0.89618041381722369</v>
      </c>
      <c r="D286" t="s">
        <v>276</v>
      </c>
      <c r="E286" t="s">
        <v>627</v>
      </c>
      <c r="F286" t="s">
        <v>588</v>
      </c>
      <c r="G286">
        <v>1</v>
      </c>
      <c r="H286">
        <v>3</v>
      </c>
      <c r="I286">
        <v>2</v>
      </c>
      <c r="J286" t="s">
        <v>557</v>
      </c>
    </row>
    <row r="287" spans="1:10" x14ac:dyDescent="0.25">
      <c r="A287" t="s">
        <v>412</v>
      </c>
      <c r="B287">
        <v>46076</v>
      </c>
      <c r="C287">
        <v>0.8256295379267945</v>
      </c>
      <c r="D287" t="s">
        <v>48</v>
      </c>
      <c r="E287" t="s">
        <v>627</v>
      </c>
      <c r="F287" t="s">
        <v>598</v>
      </c>
      <c r="G287">
        <v>2</v>
      </c>
      <c r="H287">
        <v>4</v>
      </c>
      <c r="I287">
        <v>1</v>
      </c>
      <c r="J287" t="s">
        <v>559</v>
      </c>
    </row>
    <row r="288" spans="1:10" x14ac:dyDescent="0.25">
      <c r="A288" t="s">
        <v>524</v>
      </c>
      <c r="B288">
        <v>46132</v>
      </c>
      <c r="C288">
        <v>0.41480055367304824</v>
      </c>
      <c r="D288" t="s">
        <v>44</v>
      </c>
      <c r="E288" t="s">
        <v>627</v>
      </c>
      <c r="F288" t="s">
        <v>586</v>
      </c>
      <c r="G288">
        <v>1</v>
      </c>
      <c r="H288">
        <v>1</v>
      </c>
      <c r="I288">
        <v>2</v>
      </c>
      <c r="J288" t="s">
        <v>553</v>
      </c>
    </row>
    <row r="289" spans="1:10" x14ac:dyDescent="0.25">
      <c r="A289" t="s">
        <v>525</v>
      </c>
      <c r="B289">
        <v>46052</v>
      </c>
      <c r="C289">
        <v>0.82898161575544593</v>
      </c>
      <c r="D289" t="s">
        <v>98</v>
      </c>
      <c r="E289" t="s">
        <v>627</v>
      </c>
      <c r="F289" t="s">
        <v>588</v>
      </c>
      <c r="G289">
        <v>2</v>
      </c>
      <c r="H289">
        <v>1</v>
      </c>
      <c r="I289">
        <v>0</v>
      </c>
      <c r="J289" t="s">
        <v>555</v>
      </c>
    </row>
    <row r="290" spans="1:10" x14ac:dyDescent="0.25">
      <c r="A290" t="s">
        <v>430</v>
      </c>
      <c r="B290">
        <v>46161</v>
      </c>
      <c r="C290">
        <v>0.65274264690423756</v>
      </c>
      <c r="D290" t="s">
        <v>271</v>
      </c>
      <c r="E290" t="s">
        <v>18</v>
      </c>
      <c r="F290" t="s">
        <v>588</v>
      </c>
      <c r="G290">
        <v>1</v>
      </c>
      <c r="H290">
        <v>2</v>
      </c>
      <c r="I290">
        <v>2</v>
      </c>
      <c r="J290" t="s">
        <v>557</v>
      </c>
    </row>
    <row r="291" spans="1:10" x14ac:dyDescent="0.25">
      <c r="A291" t="s">
        <v>527</v>
      </c>
      <c r="B291">
        <v>46108</v>
      </c>
      <c r="C291">
        <v>0.26577252012169994</v>
      </c>
      <c r="D291" t="s">
        <v>60</v>
      </c>
      <c r="E291" t="s">
        <v>540</v>
      </c>
      <c r="F291" t="s">
        <v>594</v>
      </c>
      <c r="G291">
        <v>2</v>
      </c>
      <c r="H291">
        <v>1</v>
      </c>
      <c r="I291">
        <v>0</v>
      </c>
      <c r="J291" t="s">
        <v>557</v>
      </c>
    </row>
    <row r="292" spans="1:10" x14ac:dyDescent="0.25">
      <c r="A292" t="s">
        <v>528</v>
      </c>
      <c r="B292">
        <v>46209</v>
      </c>
      <c r="C292">
        <v>0.63664860440748461</v>
      </c>
      <c r="D292" t="s">
        <v>52</v>
      </c>
      <c r="E292" t="s">
        <v>627</v>
      </c>
      <c r="F292" t="s">
        <v>600</v>
      </c>
      <c r="G292">
        <v>2</v>
      </c>
      <c r="H292">
        <v>2</v>
      </c>
      <c r="I292">
        <v>2</v>
      </c>
      <c r="J292" t="s">
        <v>557</v>
      </c>
    </row>
    <row r="293" spans="1:10" x14ac:dyDescent="0.25">
      <c r="A293" t="s">
        <v>529</v>
      </c>
      <c r="B293">
        <v>46204</v>
      </c>
      <c r="C293">
        <v>0.32493352956315746</v>
      </c>
      <c r="D293" t="s">
        <v>96</v>
      </c>
      <c r="E293" t="s">
        <v>540</v>
      </c>
      <c r="F293" t="s">
        <v>592</v>
      </c>
      <c r="G293">
        <v>1</v>
      </c>
      <c r="H293">
        <v>3</v>
      </c>
      <c r="I293">
        <v>2</v>
      </c>
      <c r="J293" t="s">
        <v>557</v>
      </c>
    </row>
    <row r="294" spans="1:10" x14ac:dyDescent="0.25">
      <c r="A294" t="s">
        <v>530</v>
      </c>
      <c r="B294">
        <v>46103</v>
      </c>
      <c r="C294">
        <v>6.6595432265336263E-2</v>
      </c>
      <c r="D294" t="s">
        <v>60</v>
      </c>
      <c r="E294" t="s">
        <v>545</v>
      </c>
      <c r="F294" t="s">
        <v>586</v>
      </c>
      <c r="G294">
        <v>1</v>
      </c>
      <c r="H294">
        <v>3</v>
      </c>
      <c r="I294">
        <v>0</v>
      </c>
      <c r="J294" t="s">
        <v>549</v>
      </c>
    </row>
    <row r="295" spans="1:10" x14ac:dyDescent="0.25">
      <c r="A295" t="s">
        <v>531</v>
      </c>
      <c r="B295">
        <v>46164</v>
      </c>
      <c r="C295">
        <v>0.48091805864278603</v>
      </c>
      <c r="D295" t="s">
        <v>17</v>
      </c>
      <c r="E295" t="s">
        <v>13</v>
      </c>
      <c r="F295" t="s">
        <v>586</v>
      </c>
      <c r="G295">
        <v>1</v>
      </c>
      <c r="H295">
        <v>5</v>
      </c>
      <c r="I295">
        <v>0</v>
      </c>
      <c r="J295" t="s">
        <v>557</v>
      </c>
    </row>
    <row r="296" spans="1:10" x14ac:dyDescent="0.25">
      <c r="A296" t="s">
        <v>532</v>
      </c>
      <c r="B296">
        <v>46085</v>
      </c>
      <c r="C296">
        <v>0.54843820470731286</v>
      </c>
      <c r="D296" t="s">
        <v>249</v>
      </c>
      <c r="E296" t="s">
        <v>540</v>
      </c>
      <c r="F296" t="s">
        <v>590</v>
      </c>
      <c r="G296">
        <v>2</v>
      </c>
      <c r="H296">
        <v>5</v>
      </c>
      <c r="I296">
        <v>1</v>
      </c>
      <c r="J296" t="s">
        <v>553</v>
      </c>
    </row>
    <row r="297" spans="1:10" x14ac:dyDescent="0.25">
      <c r="A297" t="s">
        <v>533</v>
      </c>
      <c r="B297">
        <v>46050</v>
      </c>
      <c r="C297">
        <v>0.74342848964034214</v>
      </c>
      <c r="D297" t="s">
        <v>86</v>
      </c>
      <c r="E297" t="s">
        <v>13</v>
      </c>
      <c r="F297" t="s">
        <v>588</v>
      </c>
      <c r="G297">
        <v>1</v>
      </c>
      <c r="H297">
        <v>3</v>
      </c>
      <c r="I297">
        <v>2</v>
      </c>
      <c r="J297" t="s">
        <v>559</v>
      </c>
    </row>
    <row r="298" spans="1:10" x14ac:dyDescent="0.25">
      <c r="A298" t="s">
        <v>534</v>
      </c>
      <c r="B298">
        <v>46052</v>
      </c>
      <c r="C298">
        <v>0.23619738230702336</v>
      </c>
      <c r="D298" t="s">
        <v>257</v>
      </c>
      <c r="E298" t="s">
        <v>18</v>
      </c>
      <c r="F298" t="s">
        <v>586</v>
      </c>
      <c r="G298">
        <v>3</v>
      </c>
      <c r="H298">
        <v>5</v>
      </c>
      <c r="I298">
        <v>1</v>
      </c>
      <c r="J298" t="s">
        <v>559</v>
      </c>
    </row>
    <row r="299" spans="1:10" x14ac:dyDescent="0.25">
      <c r="A299" t="s">
        <v>535</v>
      </c>
      <c r="B299">
        <v>46211</v>
      </c>
      <c r="C299">
        <v>0.57937261842941667</v>
      </c>
      <c r="D299" t="s">
        <v>98</v>
      </c>
      <c r="E299" t="s">
        <v>13</v>
      </c>
      <c r="F299" t="s">
        <v>594</v>
      </c>
      <c r="G299">
        <v>1</v>
      </c>
      <c r="H299">
        <v>1</v>
      </c>
      <c r="I299">
        <v>0</v>
      </c>
      <c r="J299" t="s">
        <v>553</v>
      </c>
    </row>
    <row r="300" spans="1:10" x14ac:dyDescent="0.25">
      <c r="A300" t="s">
        <v>536</v>
      </c>
      <c r="B300">
        <v>46088</v>
      </c>
      <c r="C300">
        <v>0.18356058958763044</v>
      </c>
      <c r="D300" t="s">
        <v>277</v>
      </c>
      <c r="E300" t="s">
        <v>627</v>
      </c>
      <c r="F300" t="s">
        <v>588</v>
      </c>
      <c r="G300">
        <v>3</v>
      </c>
      <c r="H300">
        <v>2</v>
      </c>
      <c r="I300">
        <v>2</v>
      </c>
      <c r="J300" t="s">
        <v>553</v>
      </c>
    </row>
    <row r="301" spans="1:10" x14ac:dyDescent="0.25">
      <c r="A301" t="s">
        <v>537</v>
      </c>
      <c r="B301">
        <v>46225</v>
      </c>
      <c r="C301">
        <v>0.45128895660133461</v>
      </c>
      <c r="D301" t="s">
        <v>28</v>
      </c>
      <c r="E301" t="s">
        <v>540</v>
      </c>
      <c r="F301" t="s">
        <v>594</v>
      </c>
      <c r="G301">
        <v>2</v>
      </c>
      <c r="H301">
        <v>2</v>
      </c>
      <c r="I301">
        <v>0</v>
      </c>
      <c r="J301" t="s">
        <v>557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0120A-0738-4685-A936-FF8A19EBF786}">
  <dimension ref="A1:M101"/>
  <sheetViews>
    <sheetView tabSelected="1" workbookViewId="0">
      <selection activeCell="J24" sqref="J24"/>
    </sheetView>
  </sheetViews>
  <sheetFormatPr baseColWidth="10" defaultColWidth="9.140625" defaultRowHeight="15" x14ac:dyDescent="0.25"/>
  <cols>
    <col min="2" max="2" width="16.140625" customWidth="1"/>
    <col min="3" max="3" width="21.7109375" customWidth="1"/>
    <col min="4" max="4" width="14" bestFit="1" customWidth="1"/>
    <col min="5" max="5" width="20.7109375" style="4" bestFit="1" customWidth="1"/>
    <col min="6" max="6" width="20.7109375" customWidth="1"/>
    <col min="7" max="7" width="9.5703125" customWidth="1"/>
    <col min="8" max="8" width="11.42578125" customWidth="1"/>
    <col min="9" max="9" width="15.140625" bestFit="1" customWidth="1"/>
    <col min="10" max="10" width="18.42578125" customWidth="1"/>
    <col min="11" max="11" width="11.85546875" customWidth="1"/>
    <col min="12" max="12" width="18.140625" customWidth="1"/>
    <col min="13" max="13" width="19.7109375" customWidth="1"/>
  </cols>
  <sheetData>
    <row r="1" spans="1:13" x14ac:dyDescent="0.25">
      <c r="A1" t="s">
        <v>270</v>
      </c>
      <c r="B1" t="s">
        <v>3</v>
      </c>
      <c r="C1" t="s">
        <v>111</v>
      </c>
      <c r="D1" t="s">
        <v>112</v>
      </c>
      <c r="E1" s="4" t="s">
        <v>113</v>
      </c>
      <c r="F1" t="s">
        <v>622</v>
      </c>
      <c r="G1" t="s">
        <v>114</v>
      </c>
      <c r="H1" t="s">
        <v>115</v>
      </c>
      <c r="I1" t="s">
        <v>116</v>
      </c>
      <c r="J1" t="s">
        <v>625</v>
      </c>
      <c r="K1" t="s">
        <v>117</v>
      </c>
      <c r="L1" t="s">
        <v>624</v>
      </c>
      <c r="M1" t="s">
        <v>626</v>
      </c>
    </row>
    <row r="2" spans="1:13" x14ac:dyDescent="0.25">
      <c r="A2">
        <v>1</v>
      </c>
      <c r="B2" t="s">
        <v>10</v>
      </c>
      <c r="C2" t="s">
        <v>118</v>
      </c>
      <c r="D2" t="s">
        <v>230</v>
      </c>
      <c r="E2" s="4" t="s">
        <v>628</v>
      </c>
      <c r="F2" t="s">
        <v>565</v>
      </c>
      <c r="G2">
        <v>4.2789999999999999</v>
      </c>
      <c r="H2">
        <v>-71.896000000000001</v>
      </c>
      <c r="I2" t="s">
        <v>120</v>
      </c>
      <c r="J2" t="s">
        <v>609</v>
      </c>
      <c r="K2" t="s">
        <v>121</v>
      </c>
      <c r="L2">
        <v>80</v>
      </c>
      <c r="M2">
        <v>8925</v>
      </c>
    </row>
    <row r="3" spans="1:13" x14ac:dyDescent="0.25">
      <c r="A3">
        <v>2</v>
      </c>
      <c r="B3" t="s">
        <v>12</v>
      </c>
      <c r="C3" t="s">
        <v>122</v>
      </c>
      <c r="D3" t="s">
        <v>233</v>
      </c>
      <c r="E3" s="4" t="s">
        <v>629</v>
      </c>
      <c r="F3" t="s">
        <v>569</v>
      </c>
      <c r="G3">
        <v>4.7060000000000004</v>
      </c>
      <c r="H3">
        <v>-73.763999999999996</v>
      </c>
      <c r="I3" t="s">
        <v>578</v>
      </c>
      <c r="J3" t="s">
        <v>605</v>
      </c>
      <c r="K3" t="s">
        <v>121</v>
      </c>
      <c r="L3">
        <v>100</v>
      </c>
      <c r="M3">
        <v>16994</v>
      </c>
    </row>
    <row r="4" spans="1:13" x14ac:dyDescent="0.25">
      <c r="A4">
        <v>3</v>
      </c>
      <c r="B4" t="s">
        <v>15</v>
      </c>
      <c r="C4" t="s">
        <v>125</v>
      </c>
      <c r="D4" t="s">
        <v>232</v>
      </c>
      <c r="E4" s="4" t="s">
        <v>630</v>
      </c>
      <c r="F4" t="s">
        <v>567</v>
      </c>
      <c r="G4">
        <v>5.43</v>
      </c>
      <c r="H4">
        <v>-73.95</v>
      </c>
      <c r="I4" t="s">
        <v>582</v>
      </c>
      <c r="J4" t="s">
        <v>613</v>
      </c>
      <c r="K4" t="s">
        <v>121</v>
      </c>
      <c r="L4">
        <v>50</v>
      </c>
      <c r="M4">
        <v>49717</v>
      </c>
    </row>
    <row r="5" spans="1:13" x14ac:dyDescent="0.25">
      <c r="A5">
        <v>4</v>
      </c>
      <c r="B5" t="s">
        <v>17</v>
      </c>
      <c r="C5" t="s">
        <v>128</v>
      </c>
      <c r="D5" t="s">
        <v>126</v>
      </c>
      <c r="E5" s="4" t="s">
        <v>631</v>
      </c>
      <c r="F5" t="s">
        <v>565</v>
      </c>
      <c r="G5">
        <v>5.258</v>
      </c>
      <c r="H5">
        <v>-72.341999999999999</v>
      </c>
      <c r="I5" t="s">
        <v>120</v>
      </c>
      <c r="J5" t="s">
        <v>609</v>
      </c>
      <c r="K5" t="s">
        <v>121</v>
      </c>
      <c r="L5">
        <v>40</v>
      </c>
      <c r="M5">
        <v>20082</v>
      </c>
    </row>
    <row r="6" spans="1:13" x14ac:dyDescent="0.25">
      <c r="A6">
        <v>5</v>
      </c>
      <c r="B6" t="s">
        <v>20</v>
      </c>
      <c r="C6" t="s">
        <v>130</v>
      </c>
      <c r="D6" t="s">
        <v>233</v>
      </c>
      <c r="E6" s="4" t="s">
        <v>629</v>
      </c>
      <c r="F6" t="s">
        <v>565</v>
      </c>
      <c r="G6">
        <v>5.2089999999999996</v>
      </c>
      <c r="H6">
        <v>-71.843000000000004</v>
      </c>
      <c r="I6" t="s">
        <v>582</v>
      </c>
      <c r="J6" t="s">
        <v>609</v>
      </c>
      <c r="K6" t="s">
        <v>132</v>
      </c>
      <c r="L6">
        <v>80</v>
      </c>
      <c r="M6">
        <v>8061</v>
      </c>
    </row>
    <row r="7" spans="1:13" x14ac:dyDescent="0.25">
      <c r="A7">
        <v>6</v>
      </c>
      <c r="B7" t="s">
        <v>22</v>
      </c>
      <c r="C7" t="s">
        <v>133</v>
      </c>
      <c r="D7" t="s">
        <v>131</v>
      </c>
      <c r="E7" s="4" t="s">
        <v>632</v>
      </c>
      <c r="F7" t="s">
        <v>571</v>
      </c>
      <c r="G7">
        <v>6.4249999999999998</v>
      </c>
      <c r="H7">
        <v>-71.86</v>
      </c>
      <c r="I7" t="s">
        <v>120</v>
      </c>
      <c r="J7" t="s">
        <v>609</v>
      </c>
      <c r="K7" t="s">
        <v>121</v>
      </c>
      <c r="L7">
        <v>80</v>
      </c>
      <c r="M7">
        <v>9466</v>
      </c>
    </row>
    <row r="8" spans="1:13" x14ac:dyDescent="0.25">
      <c r="A8">
        <v>7</v>
      </c>
      <c r="B8" t="s">
        <v>24</v>
      </c>
      <c r="C8" t="s">
        <v>134</v>
      </c>
      <c r="D8" t="s">
        <v>232</v>
      </c>
      <c r="E8" s="4" t="s">
        <v>630</v>
      </c>
      <c r="F8" t="s">
        <v>567</v>
      </c>
      <c r="G8">
        <v>5.1870000000000003</v>
      </c>
      <c r="H8">
        <v>-71.956999999999994</v>
      </c>
      <c r="I8" t="s">
        <v>578</v>
      </c>
      <c r="J8" t="s">
        <v>609</v>
      </c>
      <c r="K8" t="s">
        <v>132</v>
      </c>
      <c r="L8">
        <v>40</v>
      </c>
      <c r="M8">
        <v>8708</v>
      </c>
    </row>
    <row r="9" spans="1:13" x14ac:dyDescent="0.25">
      <c r="A9">
        <v>8</v>
      </c>
      <c r="B9" t="s">
        <v>26</v>
      </c>
      <c r="C9" t="s">
        <v>135</v>
      </c>
      <c r="D9" t="s">
        <v>131</v>
      </c>
      <c r="E9" s="4" t="s">
        <v>632</v>
      </c>
      <c r="F9" t="s">
        <v>565</v>
      </c>
      <c r="G9">
        <v>5.9429999999999996</v>
      </c>
      <c r="H9">
        <v>-73.605000000000004</v>
      </c>
      <c r="I9" t="s">
        <v>124</v>
      </c>
      <c r="J9" t="s">
        <v>603</v>
      </c>
      <c r="K9" t="s">
        <v>121</v>
      </c>
      <c r="L9">
        <v>100</v>
      </c>
      <c r="M9">
        <v>42393</v>
      </c>
    </row>
    <row r="10" spans="1:13" x14ac:dyDescent="0.25">
      <c r="A10">
        <v>9</v>
      </c>
      <c r="B10" t="s">
        <v>28</v>
      </c>
      <c r="C10" t="s">
        <v>136</v>
      </c>
      <c r="D10" t="s">
        <v>129</v>
      </c>
      <c r="E10" s="4" t="s">
        <v>633</v>
      </c>
      <c r="F10" t="s">
        <v>563</v>
      </c>
      <c r="G10">
        <v>5.0670000000000002</v>
      </c>
      <c r="H10">
        <v>-72.495999999999995</v>
      </c>
      <c r="I10" t="s">
        <v>580</v>
      </c>
      <c r="J10" t="s">
        <v>603</v>
      </c>
      <c r="K10" t="s">
        <v>121</v>
      </c>
      <c r="L10">
        <v>30</v>
      </c>
      <c r="M10">
        <v>13379</v>
      </c>
    </row>
    <row r="11" spans="1:13" x14ac:dyDescent="0.25">
      <c r="A11">
        <v>10</v>
      </c>
      <c r="B11" t="s">
        <v>30</v>
      </c>
      <c r="C11" t="s">
        <v>137</v>
      </c>
      <c r="D11" t="s">
        <v>233</v>
      </c>
      <c r="E11" s="4" t="s">
        <v>629</v>
      </c>
      <c r="F11" t="s">
        <v>563</v>
      </c>
      <c r="G11">
        <v>5.4830000000000014</v>
      </c>
      <c r="H11">
        <v>-71.364999999999995</v>
      </c>
      <c r="I11" t="s">
        <v>582</v>
      </c>
      <c r="J11" t="s">
        <v>613</v>
      </c>
      <c r="K11" t="s">
        <v>121</v>
      </c>
      <c r="L11">
        <v>40</v>
      </c>
      <c r="M11">
        <v>24148</v>
      </c>
    </row>
    <row r="12" spans="1:13" x14ac:dyDescent="0.25">
      <c r="A12">
        <v>11</v>
      </c>
      <c r="B12" t="s">
        <v>32</v>
      </c>
      <c r="C12" t="s">
        <v>138</v>
      </c>
      <c r="D12" t="s">
        <v>123</v>
      </c>
      <c r="E12" s="4" t="s">
        <v>634</v>
      </c>
      <c r="F12" t="s">
        <v>565</v>
      </c>
      <c r="G12">
        <v>5.3079999999999998</v>
      </c>
      <c r="H12">
        <v>-72.552000000000007</v>
      </c>
      <c r="I12" t="s">
        <v>127</v>
      </c>
      <c r="J12" t="s">
        <v>603</v>
      </c>
      <c r="K12" t="s">
        <v>132</v>
      </c>
      <c r="L12">
        <v>100</v>
      </c>
      <c r="M12">
        <v>37451</v>
      </c>
    </row>
    <row r="13" spans="1:13" x14ac:dyDescent="0.25">
      <c r="A13">
        <v>12</v>
      </c>
      <c r="B13" t="s">
        <v>34</v>
      </c>
      <c r="C13" t="s">
        <v>139</v>
      </c>
      <c r="D13" t="s">
        <v>123</v>
      </c>
      <c r="E13" s="4" t="s">
        <v>634</v>
      </c>
      <c r="F13" t="s">
        <v>567</v>
      </c>
      <c r="G13">
        <v>6.6070000000000002</v>
      </c>
      <c r="H13">
        <v>-73.182000000000002</v>
      </c>
      <c r="I13" t="s">
        <v>582</v>
      </c>
      <c r="J13" t="s">
        <v>605</v>
      </c>
      <c r="K13" t="s">
        <v>132</v>
      </c>
      <c r="L13">
        <v>60</v>
      </c>
      <c r="M13">
        <v>7526</v>
      </c>
    </row>
    <row r="14" spans="1:13" x14ac:dyDescent="0.25">
      <c r="A14">
        <v>13</v>
      </c>
      <c r="B14" t="s">
        <v>36</v>
      </c>
      <c r="C14" t="s">
        <v>140</v>
      </c>
      <c r="D14" t="s">
        <v>233</v>
      </c>
      <c r="E14" s="4" t="s">
        <v>629</v>
      </c>
      <c r="F14" t="s">
        <v>569</v>
      </c>
      <c r="G14">
        <v>6.3040000000000003</v>
      </c>
      <c r="H14">
        <v>-71.665000000000006</v>
      </c>
      <c r="I14" t="s">
        <v>120</v>
      </c>
      <c r="J14" t="s">
        <v>611</v>
      </c>
      <c r="K14" t="s">
        <v>121</v>
      </c>
      <c r="L14">
        <v>40</v>
      </c>
      <c r="M14">
        <v>48045</v>
      </c>
    </row>
    <row r="15" spans="1:13" x14ac:dyDescent="0.25">
      <c r="A15">
        <v>14</v>
      </c>
      <c r="B15" t="s">
        <v>38</v>
      </c>
      <c r="C15" t="s">
        <v>141</v>
      </c>
      <c r="D15" t="s">
        <v>232</v>
      </c>
      <c r="E15" s="4" t="s">
        <v>630</v>
      </c>
      <c r="F15" t="s">
        <v>563</v>
      </c>
      <c r="G15">
        <v>5.2930000000000001</v>
      </c>
      <c r="H15">
        <v>-72.043000000000006</v>
      </c>
      <c r="I15" t="s">
        <v>578</v>
      </c>
      <c r="J15" t="s">
        <v>613</v>
      </c>
      <c r="K15" t="s">
        <v>132</v>
      </c>
      <c r="L15">
        <v>40</v>
      </c>
      <c r="M15">
        <v>26561</v>
      </c>
    </row>
    <row r="16" spans="1:13" x14ac:dyDescent="0.25">
      <c r="A16">
        <v>15</v>
      </c>
      <c r="B16" t="s">
        <v>40</v>
      </c>
      <c r="C16" t="s">
        <v>142</v>
      </c>
      <c r="D16" t="s">
        <v>119</v>
      </c>
      <c r="E16" s="4" t="s">
        <v>635</v>
      </c>
      <c r="F16" t="s">
        <v>565</v>
      </c>
      <c r="G16">
        <v>5.1080000000000014</v>
      </c>
      <c r="H16">
        <v>-72.989999999999995</v>
      </c>
      <c r="I16" t="s">
        <v>124</v>
      </c>
      <c r="J16" t="s">
        <v>609</v>
      </c>
      <c r="K16" t="s">
        <v>132</v>
      </c>
      <c r="L16">
        <v>100</v>
      </c>
      <c r="M16">
        <v>14098</v>
      </c>
    </row>
    <row r="17" spans="1:13" x14ac:dyDescent="0.25">
      <c r="A17">
        <v>16</v>
      </c>
      <c r="B17" t="s">
        <v>42</v>
      </c>
      <c r="C17" t="s">
        <v>143</v>
      </c>
      <c r="D17" t="s">
        <v>119</v>
      </c>
      <c r="E17" s="4" t="s">
        <v>635</v>
      </c>
      <c r="F17" t="s">
        <v>563</v>
      </c>
      <c r="G17">
        <v>4.766</v>
      </c>
      <c r="H17">
        <v>-72.5</v>
      </c>
      <c r="I17" t="s">
        <v>580</v>
      </c>
      <c r="J17" t="s">
        <v>611</v>
      </c>
      <c r="K17" t="s">
        <v>121</v>
      </c>
      <c r="L17">
        <v>100</v>
      </c>
      <c r="M17">
        <v>6123</v>
      </c>
    </row>
    <row r="18" spans="1:13" x14ac:dyDescent="0.25">
      <c r="A18">
        <v>17</v>
      </c>
      <c r="B18" t="s">
        <v>44</v>
      </c>
      <c r="C18" t="s">
        <v>144</v>
      </c>
      <c r="D18" t="s">
        <v>234</v>
      </c>
      <c r="E18" s="4" t="s">
        <v>636</v>
      </c>
      <c r="F18" t="s">
        <v>571</v>
      </c>
      <c r="G18">
        <v>5.42</v>
      </c>
      <c r="H18">
        <v>-72.444000000000003</v>
      </c>
      <c r="I18" t="s">
        <v>124</v>
      </c>
      <c r="J18" t="s">
        <v>603</v>
      </c>
      <c r="K18" t="s">
        <v>132</v>
      </c>
      <c r="L18">
        <v>80</v>
      </c>
      <c r="M18">
        <v>48685</v>
      </c>
    </row>
    <row r="19" spans="1:13" x14ac:dyDescent="0.25">
      <c r="A19">
        <v>18</v>
      </c>
      <c r="B19" t="s">
        <v>46</v>
      </c>
      <c r="C19" t="s">
        <v>145</v>
      </c>
      <c r="D19" t="s">
        <v>234</v>
      </c>
      <c r="E19" s="4" t="s">
        <v>636</v>
      </c>
      <c r="F19" t="s">
        <v>571</v>
      </c>
      <c r="G19">
        <v>5.6820000000000004</v>
      </c>
      <c r="H19">
        <v>-72.245000000000005</v>
      </c>
      <c r="I19" t="s">
        <v>124</v>
      </c>
      <c r="J19" t="s">
        <v>607</v>
      </c>
      <c r="K19" t="s">
        <v>121</v>
      </c>
      <c r="L19">
        <v>40</v>
      </c>
      <c r="M19">
        <v>44370</v>
      </c>
    </row>
    <row r="20" spans="1:13" x14ac:dyDescent="0.25">
      <c r="A20">
        <v>19</v>
      </c>
      <c r="B20" t="s">
        <v>48</v>
      </c>
      <c r="C20" t="s">
        <v>146</v>
      </c>
      <c r="D20" t="s">
        <v>231</v>
      </c>
      <c r="E20" s="4" t="s">
        <v>637</v>
      </c>
      <c r="F20" t="s">
        <v>567</v>
      </c>
      <c r="G20">
        <v>6.59</v>
      </c>
      <c r="H20">
        <v>-73.882999999999996</v>
      </c>
      <c r="I20" t="s">
        <v>124</v>
      </c>
      <c r="J20" t="s">
        <v>605</v>
      </c>
      <c r="K20" t="s">
        <v>132</v>
      </c>
      <c r="L20">
        <v>50</v>
      </c>
      <c r="M20">
        <v>45776</v>
      </c>
    </row>
    <row r="21" spans="1:13" x14ac:dyDescent="0.25">
      <c r="A21">
        <v>20</v>
      </c>
      <c r="B21" t="s">
        <v>50</v>
      </c>
      <c r="C21" t="s">
        <v>147</v>
      </c>
      <c r="D21" t="s">
        <v>129</v>
      </c>
      <c r="E21" s="4" t="s">
        <v>633</v>
      </c>
      <c r="F21" t="s">
        <v>569</v>
      </c>
      <c r="G21">
        <v>6.35</v>
      </c>
      <c r="H21">
        <v>-72.745999999999995</v>
      </c>
      <c r="I21" t="s">
        <v>578</v>
      </c>
      <c r="J21" t="s">
        <v>613</v>
      </c>
      <c r="K21" t="s">
        <v>121</v>
      </c>
      <c r="L21">
        <v>50</v>
      </c>
      <c r="M21">
        <v>49745</v>
      </c>
    </row>
    <row r="22" spans="1:13" x14ac:dyDescent="0.25">
      <c r="A22">
        <v>21</v>
      </c>
      <c r="B22" t="s">
        <v>52</v>
      </c>
      <c r="C22" t="s">
        <v>148</v>
      </c>
      <c r="D22" t="s">
        <v>230</v>
      </c>
      <c r="E22" s="4" t="s">
        <v>628</v>
      </c>
      <c r="F22" t="s">
        <v>567</v>
      </c>
      <c r="G22">
        <v>6.5609999999999999</v>
      </c>
      <c r="H22">
        <v>-72.272000000000006</v>
      </c>
      <c r="I22" t="s">
        <v>582</v>
      </c>
      <c r="J22" t="s">
        <v>603</v>
      </c>
      <c r="K22" t="s">
        <v>121</v>
      </c>
      <c r="L22">
        <v>30</v>
      </c>
      <c r="M22">
        <v>12437</v>
      </c>
    </row>
    <row r="23" spans="1:13" x14ac:dyDescent="0.25">
      <c r="A23">
        <v>22</v>
      </c>
      <c r="B23" t="s">
        <v>54</v>
      </c>
      <c r="C23" t="s">
        <v>149</v>
      </c>
      <c r="D23" t="s">
        <v>232</v>
      </c>
      <c r="E23" s="4" t="s">
        <v>630</v>
      </c>
      <c r="F23" t="s">
        <v>563</v>
      </c>
      <c r="G23">
        <v>4.8940000000000001</v>
      </c>
      <c r="H23">
        <v>-72.891000000000005</v>
      </c>
      <c r="I23" t="s">
        <v>124</v>
      </c>
      <c r="J23" t="s">
        <v>603</v>
      </c>
      <c r="K23" t="s">
        <v>121</v>
      </c>
      <c r="L23">
        <v>80</v>
      </c>
      <c r="M23">
        <v>27418</v>
      </c>
    </row>
    <row r="24" spans="1:13" x14ac:dyDescent="0.25">
      <c r="A24">
        <v>23</v>
      </c>
      <c r="B24" t="s">
        <v>56</v>
      </c>
      <c r="C24" t="s">
        <v>150</v>
      </c>
      <c r="D24" t="s">
        <v>126</v>
      </c>
      <c r="E24" s="4" t="s">
        <v>631</v>
      </c>
      <c r="F24" t="s">
        <v>563</v>
      </c>
      <c r="G24">
        <v>5.633</v>
      </c>
      <c r="H24">
        <v>-72.248999999999995</v>
      </c>
      <c r="I24" t="s">
        <v>124</v>
      </c>
      <c r="J24" t="s">
        <v>603</v>
      </c>
      <c r="K24" t="s">
        <v>132</v>
      </c>
      <c r="L24">
        <v>80</v>
      </c>
      <c r="M24">
        <v>19620</v>
      </c>
    </row>
    <row r="25" spans="1:13" x14ac:dyDescent="0.25">
      <c r="A25">
        <v>24</v>
      </c>
      <c r="B25" t="s">
        <v>58</v>
      </c>
      <c r="C25" t="s">
        <v>151</v>
      </c>
      <c r="D25" t="s">
        <v>232</v>
      </c>
      <c r="E25" s="4" t="s">
        <v>630</v>
      </c>
      <c r="F25" t="s">
        <v>565</v>
      </c>
      <c r="G25">
        <v>6.5339999999999998</v>
      </c>
      <c r="H25">
        <v>-71.409000000000006</v>
      </c>
      <c r="I25" t="s">
        <v>582</v>
      </c>
      <c r="J25" t="s">
        <v>611</v>
      </c>
      <c r="K25" t="s">
        <v>121</v>
      </c>
      <c r="L25">
        <v>100</v>
      </c>
      <c r="M25">
        <v>34036</v>
      </c>
    </row>
    <row r="26" spans="1:13" x14ac:dyDescent="0.25">
      <c r="A26">
        <v>25</v>
      </c>
      <c r="B26" t="s">
        <v>60</v>
      </c>
      <c r="C26" t="s">
        <v>152</v>
      </c>
      <c r="D26" t="s">
        <v>119</v>
      </c>
      <c r="E26" s="4" t="s">
        <v>635</v>
      </c>
      <c r="F26" t="s">
        <v>563</v>
      </c>
      <c r="G26">
        <v>5.9130000000000003</v>
      </c>
      <c r="H26">
        <v>-71.215000000000003</v>
      </c>
      <c r="I26" t="s">
        <v>582</v>
      </c>
      <c r="J26" t="s">
        <v>613</v>
      </c>
      <c r="K26" t="s">
        <v>121</v>
      </c>
      <c r="L26">
        <v>80</v>
      </c>
      <c r="M26">
        <v>14490</v>
      </c>
    </row>
    <row r="27" spans="1:13" x14ac:dyDescent="0.25">
      <c r="A27">
        <v>26</v>
      </c>
      <c r="B27" t="s">
        <v>62</v>
      </c>
      <c r="C27" t="s">
        <v>153</v>
      </c>
      <c r="D27" t="s">
        <v>235</v>
      </c>
      <c r="E27" s="4" t="s">
        <v>638</v>
      </c>
      <c r="F27" t="s">
        <v>569</v>
      </c>
      <c r="G27">
        <v>4.4870000000000001</v>
      </c>
      <c r="H27">
        <v>-72.454999999999998</v>
      </c>
      <c r="I27" t="s">
        <v>127</v>
      </c>
      <c r="J27" t="s">
        <v>607</v>
      </c>
      <c r="K27" t="s">
        <v>121</v>
      </c>
      <c r="L27">
        <v>100</v>
      </c>
      <c r="M27">
        <v>49611</v>
      </c>
    </row>
    <row r="28" spans="1:13" x14ac:dyDescent="0.25">
      <c r="A28">
        <v>27</v>
      </c>
      <c r="B28" t="s">
        <v>64</v>
      </c>
      <c r="C28" t="s">
        <v>154</v>
      </c>
      <c r="D28" t="s">
        <v>123</v>
      </c>
      <c r="E28" s="4" t="s">
        <v>634</v>
      </c>
      <c r="F28" t="s">
        <v>569</v>
      </c>
      <c r="G28">
        <v>6.8369999999999997</v>
      </c>
      <c r="H28">
        <v>-73.986000000000004</v>
      </c>
      <c r="I28" t="s">
        <v>582</v>
      </c>
      <c r="J28" t="s">
        <v>609</v>
      </c>
      <c r="K28" t="s">
        <v>121</v>
      </c>
      <c r="L28">
        <v>80</v>
      </c>
      <c r="M28">
        <v>42479</v>
      </c>
    </row>
    <row r="29" spans="1:13" x14ac:dyDescent="0.25">
      <c r="A29">
        <v>28</v>
      </c>
      <c r="B29" t="s">
        <v>66</v>
      </c>
      <c r="C29" t="s">
        <v>155</v>
      </c>
      <c r="D29" t="s">
        <v>131</v>
      </c>
      <c r="E29" s="4" t="s">
        <v>632</v>
      </c>
      <c r="F29" t="s">
        <v>569</v>
      </c>
      <c r="G29">
        <v>5.9510000000000014</v>
      </c>
      <c r="H29">
        <v>-72.427000000000007</v>
      </c>
      <c r="I29" t="s">
        <v>582</v>
      </c>
      <c r="J29" t="s">
        <v>609</v>
      </c>
      <c r="K29" t="s">
        <v>132</v>
      </c>
      <c r="L29">
        <v>40</v>
      </c>
      <c r="M29">
        <v>40706</v>
      </c>
    </row>
    <row r="30" spans="1:13" x14ac:dyDescent="0.25">
      <c r="A30">
        <v>29</v>
      </c>
      <c r="B30" t="s">
        <v>68</v>
      </c>
      <c r="C30" t="s">
        <v>156</v>
      </c>
      <c r="D30" t="s">
        <v>131</v>
      </c>
      <c r="E30" s="4" t="s">
        <v>632</v>
      </c>
      <c r="F30" t="s">
        <v>569</v>
      </c>
      <c r="G30">
        <v>6.6230000000000002</v>
      </c>
      <c r="H30">
        <v>-71.177999999999997</v>
      </c>
      <c r="I30" t="s">
        <v>578</v>
      </c>
      <c r="J30" t="s">
        <v>609</v>
      </c>
      <c r="K30" t="s">
        <v>121</v>
      </c>
      <c r="L30">
        <v>60</v>
      </c>
      <c r="M30">
        <v>47585</v>
      </c>
    </row>
    <row r="31" spans="1:13" x14ac:dyDescent="0.25">
      <c r="A31">
        <v>30</v>
      </c>
      <c r="B31" t="s">
        <v>70</v>
      </c>
      <c r="C31" t="s">
        <v>157</v>
      </c>
      <c r="D31" t="s">
        <v>234</v>
      </c>
      <c r="E31" s="4" t="s">
        <v>636</v>
      </c>
      <c r="F31" t="s">
        <v>567</v>
      </c>
      <c r="G31">
        <v>4.6879999999999997</v>
      </c>
      <c r="H31">
        <v>-71.950999999999993</v>
      </c>
      <c r="I31" t="s">
        <v>124</v>
      </c>
      <c r="J31" t="s">
        <v>603</v>
      </c>
      <c r="K31" t="s">
        <v>132</v>
      </c>
      <c r="L31">
        <v>100</v>
      </c>
      <c r="M31">
        <v>22139</v>
      </c>
    </row>
    <row r="32" spans="1:13" x14ac:dyDescent="0.25">
      <c r="A32">
        <v>31</v>
      </c>
      <c r="B32" t="s">
        <v>72</v>
      </c>
      <c r="C32" t="s">
        <v>158</v>
      </c>
      <c r="D32" t="s">
        <v>234</v>
      </c>
      <c r="E32" s="4" t="s">
        <v>636</v>
      </c>
      <c r="F32" t="s">
        <v>567</v>
      </c>
      <c r="G32">
        <v>6.5150000000000006</v>
      </c>
      <c r="H32">
        <v>-73.244</v>
      </c>
      <c r="I32" t="s">
        <v>578</v>
      </c>
      <c r="J32" t="s">
        <v>607</v>
      </c>
      <c r="K32" t="s">
        <v>132</v>
      </c>
      <c r="L32">
        <v>100</v>
      </c>
      <c r="M32">
        <v>34933</v>
      </c>
    </row>
    <row r="33" spans="1:13" x14ac:dyDescent="0.25">
      <c r="A33">
        <v>32</v>
      </c>
      <c r="B33" t="s">
        <v>74</v>
      </c>
      <c r="C33" t="s">
        <v>159</v>
      </c>
      <c r="D33" t="s">
        <v>131</v>
      </c>
      <c r="E33" s="4" t="s">
        <v>632</v>
      </c>
      <c r="F33" t="s">
        <v>569</v>
      </c>
      <c r="G33">
        <v>4.6829999999999998</v>
      </c>
      <c r="H33">
        <v>-73.516000000000005</v>
      </c>
      <c r="I33" t="s">
        <v>124</v>
      </c>
      <c r="J33" t="s">
        <v>613</v>
      </c>
      <c r="K33" t="s">
        <v>121</v>
      </c>
      <c r="L33">
        <v>80</v>
      </c>
      <c r="M33">
        <v>41995</v>
      </c>
    </row>
    <row r="34" spans="1:13" x14ac:dyDescent="0.25">
      <c r="A34">
        <v>33</v>
      </c>
      <c r="B34" t="s">
        <v>76</v>
      </c>
      <c r="C34" t="s">
        <v>160</v>
      </c>
      <c r="D34" t="s">
        <v>129</v>
      </c>
      <c r="E34" s="4" t="s">
        <v>633</v>
      </c>
      <c r="F34" t="s">
        <v>569</v>
      </c>
      <c r="G34">
        <v>5.0960000000000001</v>
      </c>
      <c r="H34">
        <v>-72.488</v>
      </c>
      <c r="I34" t="s">
        <v>578</v>
      </c>
      <c r="J34" t="s">
        <v>607</v>
      </c>
      <c r="K34" t="s">
        <v>132</v>
      </c>
      <c r="L34">
        <v>40</v>
      </c>
      <c r="M34">
        <v>19977</v>
      </c>
    </row>
    <row r="35" spans="1:13" x14ac:dyDescent="0.25">
      <c r="A35">
        <v>34</v>
      </c>
      <c r="B35" t="s">
        <v>78</v>
      </c>
      <c r="C35" t="s">
        <v>161</v>
      </c>
      <c r="D35" t="s">
        <v>129</v>
      </c>
      <c r="E35" s="4" t="s">
        <v>633</v>
      </c>
      <c r="F35" t="s">
        <v>571</v>
      </c>
      <c r="G35">
        <v>4.26</v>
      </c>
      <c r="H35">
        <v>-72.760999999999996</v>
      </c>
      <c r="I35" t="s">
        <v>578</v>
      </c>
      <c r="J35" t="s">
        <v>613</v>
      </c>
      <c r="K35" t="s">
        <v>121</v>
      </c>
      <c r="L35">
        <v>40</v>
      </c>
      <c r="M35">
        <v>35064</v>
      </c>
    </row>
    <row r="36" spans="1:13" x14ac:dyDescent="0.25">
      <c r="A36">
        <v>35</v>
      </c>
      <c r="B36" t="s">
        <v>80</v>
      </c>
      <c r="C36" t="s">
        <v>162</v>
      </c>
      <c r="D36" t="s">
        <v>129</v>
      </c>
      <c r="E36" s="4" t="s">
        <v>633</v>
      </c>
      <c r="F36" t="s">
        <v>567</v>
      </c>
      <c r="G36">
        <v>5.758</v>
      </c>
      <c r="H36">
        <v>-72.698999999999998</v>
      </c>
      <c r="I36" t="s">
        <v>124</v>
      </c>
      <c r="J36" t="s">
        <v>609</v>
      </c>
      <c r="K36" t="s">
        <v>132</v>
      </c>
      <c r="L36">
        <v>80</v>
      </c>
      <c r="M36">
        <v>46675</v>
      </c>
    </row>
    <row r="37" spans="1:13" x14ac:dyDescent="0.25">
      <c r="A37">
        <v>36</v>
      </c>
      <c r="B37" t="s">
        <v>82</v>
      </c>
      <c r="C37" t="s">
        <v>163</v>
      </c>
      <c r="D37" t="s">
        <v>233</v>
      </c>
      <c r="E37" s="4" t="s">
        <v>629</v>
      </c>
      <c r="F37" t="s">
        <v>567</v>
      </c>
      <c r="G37">
        <v>5.2</v>
      </c>
      <c r="H37">
        <v>-73.728999999999999</v>
      </c>
      <c r="I37" t="s">
        <v>124</v>
      </c>
      <c r="J37" t="s">
        <v>603</v>
      </c>
      <c r="K37" t="s">
        <v>132</v>
      </c>
      <c r="L37">
        <v>40</v>
      </c>
      <c r="M37">
        <v>39445</v>
      </c>
    </row>
    <row r="38" spans="1:13" x14ac:dyDescent="0.25">
      <c r="A38">
        <v>37</v>
      </c>
      <c r="B38" t="s">
        <v>84</v>
      </c>
      <c r="C38" t="s">
        <v>164</v>
      </c>
      <c r="D38" t="s">
        <v>231</v>
      </c>
      <c r="E38" s="4" t="s">
        <v>637</v>
      </c>
      <c r="F38" t="s">
        <v>569</v>
      </c>
      <c r="G38">
        <v>5.18</v>
      </c>
      <c r="H38">
        <v>-71.453999999999994</v>
      </c>
      <c r="I38" t="s">
        <v>127</v>
      </c>
      <c r="J38" t="s">
        <v>603</v>
      </c>
      <c r="K38" t="s">
        <v>132</v>
      </c>
      <c r="L38">
        <v>50</v>
      </c>
      <c r="M38">
        <v>9802</v>
      </c>
    </row>
    <row r="39" spans="1:13" x14ac:dyDescent="0.25">
      <c r="A39">
        <v>38</v>
      </c>
      <c r="B39" t="s">
        <v>86</v>
      </c>
      <c r="C39" t="s">
        <v>165</v>
      </c>
      <c r="D39" t="s">
        <v>235</v>
      </c>
      <c r="E39" s="4" t="s">
        <v>638</v>
      </c>
      <c r="F39" t="s">
        <v>571</v>
      </c>
      <c r="G39">
        <v>6.9589999999999996</v>
      </c>
      <c r="H39">
        <v>-71.513000000000005</v>
      </c>
      <c r="I39" t="s">
        <v>124</v>
      </c>
      <c r="J39" t="s">
        <v>607</v>
      </c>
      <c r="K39" t="s">
        <v>132</v>
      </c>
      <c r="L39">
        <v>80</v>
      </c>
      <c r="M39">
        <v>24439</v>
      </c>
    </row>
    <row r="40" spans="1:13" x14ac:dyDescent="0.25">
      <c r="A40">
        <v>39</v>
      </c>
      <c r="B40" t="s">
        <v>88</v>
      </c>
      <c r="C40" t="s">
        <v>166</v>
      </c>
      <c r="D40" t="s">
        <v>230</v>
      </c>
      <c r="E40" s="4" t="s">
        <v>628</v>
      </c>
      <c r="F40" t="s">
        <v>563</v>
      </c>
      <c r="G40">
        <v>6.3599999999999994</v>
      </c>
      <c r="H40">
        <v>-71.391000000000005</v>
      </c>
      <c r="I40" t="s">
        <v>580</v>
      </c>
      <c r="J40" t="s">
        <v>603</v>
      </c>
      <c r="K40" t="s">
        <v>132</v>
      </c>
      <c r="L40">
        <v>40</v>
      </c>
      <c r="M40">
        <v>37933</v>
      </c>
    </row>
    <row r="41" spans="1:13" x14ac:dyDescent="0.25">
      <c r="A41">
        <v>40</v>
      </c>
      <c r="B41" t="s">
        <v>90</v>
      </c>
      <c r="C41" t="s">
        <v>167</v>
      </c>
      <c r="D41" t="s">
        <v>231</v>
      </c>
      <c r="E41" s="4" t="s">
        <v>637</v>
      </c>
      <c r="F41" t="s">
        <v>571</v>
      </c>
      <c r="G41">
        <v>6.6920000000000002</v>
      </c>
      <c r="H41">
        <v>-71.635000000000005</v>
      </c>
      <c r="I41" t="s">
        <v>580</v>
      </c>
      <c r="J41" t="s">
        <v>613</v>
      </c>
      <c r="K41" t="s">
        <v>132</v>
      </c>
      <c r="L41">
        <v>100</v>
      </c>
      <c r="M41">
        <v>26455</v>
      </c>
    </row>
    <row r="42" spans="1:13" x14ac:dyDescent="0.25">
      <c r="A42">
        <v>41</v>
      </c>
      <c r="B42" t="s">
        <v>92</v>
      </c>
      <c r="C42" t="s">
        <v>168</v>
      </c>
      <c r="D42" t="s">
        <v>231</v>
      </c>
      <c r="E42" s="4" t="s">
        <v>637</v>
      </c>
      <c r="F42" t="s">
        <v>569</v>
      </c>
      <c r="G42">
        <v>5.33</v>
      </c>
      <c r="H42">
        <v>-72.003</v>
      </c>
      <c r="I42" t="s">
        <v>578</v>
      </c>
      <c r="J42" t="s">
        <v>611</v>
      </c>
      <c r="K42" t="s">
        <v>132</v>
      </c>
      <c r="L42">
        <v>60</v>
      </c>
      <c r="M42">
        <v>35983</v>
      </c>
    </row>
    <row r="43" spans="1:13" x14ac:dyDescent="0.25">
      <c r="A43">
        <v>42</v>
      </c>
      <c r="B43" t="s">
        <v>94</v>
      </c>
      <c r="C43" t="s">
        <v>169</v>
      </c>
      <c r="D43" t="s">
        <v>233</v>
      </c>
      <c r="E43" s="4" t="s">
        <v>629</v>
      </c>
      <c r="F43" t="s">
        <v>569</v>
      </c>
      <c r="G43">
        <v>6.0150000000000006</v>
      </c>
      <c r="H43">
        <v>-71.484999999999999</v>
      </c>
      <c r="I43" t="s">
        <v>120</v>
      </c>
      <c r="J43" t="s">
        <v>609</v>
      </c>
      <c r="K43" t="s">
        <v>132</v>
      </c>
      <c r="L43">
        <v>80</v>
      </c>
      <c r="M43">
        <v>25307</v>
      </c>
    </row>
    <row r="44" spans="1:13" x14ac:dyDescent="0.25">
      <c r="A44">
        <v>43</v>
      </c>
      <c r="B44" t="s">
        <v>96</v>
      </c>
      <c r="C44" t="s">
        <v>170</v>
      </c>
      <c r="D44" t="s">
        <v>131</v>
      </c>
      <c r="E44" s="4" t="s">
        <v>632</v>
      </c>
      <c r="F44" t="s">
        <v>567</v>
      </c>
      <c r="G44">
        <v>5.3580000000000014</v>
      </c>
      <c r="H44">
        <v>-72.558999999999997</v>
      </c>
      <c r="I44" t="s">
        <v>124</v>
      </c>
      <c r="J44" t="s">
        <v>613</v>
      </c>
      <c r="K44" t="s">
        <v>132</v>
      </c>
      <c r="L44">
        <v>50</v>
      </c>
      <c r="M44">
        <v>29908</v>
      </c>
    </row>
    <row r="45" spans="1:13" x14ac:dyDescent="0.25">
      <c r="A45">
        <v>44</v>
      </c>
      <c r="B45" t="s">
        <v>98</v>
      </c>
      <c r="C45" t="s">
        <v>171</v>
      </c>
      <c r="D45" t="s">
        <v>131</v>
      </c>
      <c r="E45" s="4" t="s">
        <v>632</v>
      </c>
      <c r="F45" t="s">
        <v>571</v>
      </c>
      <c r="G45">
        <v>4.6539999999999999</v>
      </c>
      <c r="H45">
        <v>-71.45</v>
      </c>
      <c r="I45" t="s">
        <v>124</v>
      </c>
      <c r="J45" t="s">
        <v>613</v>
      </c>
      <c r="K45" t="s">
        <v>121</v>
      </c>
      <c r="L45">
        <v>30</v>
      </c>
      <c r="M45">
        <v>10676</v>
      </c>
    </row>
    <row r="46" spans="1:13" x14ac:dyDescent="0.25">
      <c r="A46">
        <v>45</v>
      </c>
      <c r="B46" t="s">
        <v>100</v>
      </c>
      <c r="C46" t="s">
        <v>172</v>
      </c>
      <c r="D46" t="s">
        <v>119</v>
      </c>
      <c r="E46" s="4" t="s">
        <v>635</v>
      </c>
      <c r="F46" t="s">
        <v>567</v>
      </c>
      <c r="G46">
        <v>6.415</v>
      </c>
      <c r="H46">
        <v>-71.385999999999996</v>
      </c>
      <c r="I46" t="s">
        <v>127</v>
      </c>
      <c r="J46" t="s">
        <v>605</v>
      </c>
      <c r="K46" t="s">
        <v>121</v>
      </c>
      <c r="L46">
        <v>60</v>
      </c>
      <c r="M46">
        <v>28382</v>
      </c>
    </row>
    <row r="47" spans="1:13" x14ac:dyDescent="0.25">
      <c r="A47">
        <v>46</v>
      </c>
      <c r="B47" t="s">
        <v>102</v>
      </c>
      <c r="C47" t="s">
        <v>173</v>
      </c>
      <c r="D47" t="s">
        <v>131</v>
      </c>
      <c r="E47" s="4" t="s">
        <v>632</v>
      </c>
      <c r="F47" t="s">
        <v>565</v>
      </c>
      <c r="G47">
        <v>4.8710000000000004</v>
      </c>
      <c r="H47">
        <v>-73.043999999999997</v>
      </c>
      <c r="I47" t="s">
        <v>124</v>
      </c>
      <c r="J47" t="s">
        <v>605</v>
      </c>
      <c r="K47" t="s">
        <v>121</v>
      </c>
      <c r="L47">
        <v>50</v>
      </c>
      <c r="M47">
        <v>16943</v>
      </c>
    </row>
    <row r="48" spans="1:13" x14ac:dyDescent="0.25">
      <c r="A48">
        <v>47</v>
      </c>
      <c r="B48" t="s">
        <v>104</v>
      </c>
      <c r="C48" t="s">
        <v>174</v>
      </c>
      <c r="D48" t="s">
        <v>119</v>
      </c>
      <c r="E48" s="4" t="s">
        <v>635</v>
      </c>
      <c r="F48" t="s">
        <v>571</v>
      </c>
      <c r="G48">
        <v>4.0039999999999996</v>
      </c>
      <c r="H48">
        <v>-72.682000000000002</v>
      </c>
      <c r="I48" t="s">
        <v>127</v>
      </c>
      <c r="J48" t="s">
        <v>613</v>
      </c>
      <c r="K48" t="s">
        <v>132</v>
      </c>
      <c r="L48">
        <v>100</v>
      </c>
      <c r="M48">
        <v>28625</v>
      </c>
    </row>
    <row r="49" spans="1:13" x14ac:dyDescent="0.25">
      <c r="A49">
        <v>48</v>
      </c>
      <c r="B49" t="s">
        <v>106</v>
      </c>
      <c r="C49" t="s">
        <v>175</v>
      </c>
      <c r="D49" t="s">
        <v>131</v>
      </c>
      <c r="E49" s="4" t="s">
        <v>632</v>
      </c>
      <c r="F49" t="s">
        <v>571</v>
      </c>
      <c r="G49">
        <v>6.7869999999999999</v>
      </c>
      <c r="H49">
        <v>-72.647999999999996</v>
      </c>
      <c r="I49" t="s">
        <v>124</v>
      </c>
      <c r="J49" t="s">
        <v>605</v>
      </c>
      <c r="K49" t="s">
        <v>121</v>
      </c>
      <c r="L49">
        <v>80</v>
      </c>
      <c r="M49">
        <v>23020</v>
      </c>
    </row>
    <row r="50" spans="1:13" x14ac:dyDescent="0.25">
      <c r="A50">
        <v>49</v>
      </c>
      <c r="B50" t="s">
        <v>108</v>
      </c>
      <c r="C50" t="s">
        <v>176</v>
      </c>
      <c r="D50" t="s">
        <v>126</v>
      </c>
      <c r="E50" s="4" t="s">
        <v>631</v>
      </c>
      <c r="F50" t="s">
        <v>569</v>
      </c>
      <c r="G50">
        <v>6.0359999999999996</v>
      </c>
      <c r="H50">
        <v>-73.822999999999993</v>
      </c>
      <c r="I50" t="s">
        <v>582</v>
      </c>
      <c r="J50" t="s">
        <v>609</v>
      </c>
      <c r="K50" t="s">
        <v>132</v>
      </c>
      <c r="L50">
        <v>100</v>
      </c>
      <c r="M50">
        <v>14180</v>
      </c>
    </row>
    <row r="51" spans="1:13" x14ac:dyDescent="0.25">
      <c r="A51">
        <v>50</v>
      </c>
      <c r="B51" t="s">
        <v>110</v>
      </c>
      <c r="C51" t="s">
        <v>177</v>
      </c>
      <c r="D51" t="s">
        <v>234</v>
      </c>
      <c r="E51" s="4" t="s">
        <v>636</v>
      </c>
      <c r="F51" t="s">
        <v>565</v>
      </c>
      <c r="G51">
        <v>4.4809999999999999</v>
      </c>
      <c r="H51">
        <v>-73.638000000000005</v>
      </c>
      <c r="I51" t="s">
        <v>127</v>
      </c>
      <c r="J51" t="s">
        <v>613</v>
      </c>
      <c r="K51" t="s">
        <v>132</v>
      </c>
      <c r="L51">
        <v>50</v>
      </c>
      <c r="M51">
        <v>41423</v>
      </c>
    </row>
    <row r="52" spans="1:13" x14ac:dyDescent="0.25">
      <c r="A52">
        <v>51</v>
      </c>
      <c r="B52" t="s">
        <v>237</v>
      </c>
      <c r="C52" t="s">
        <v>288</v>
      </c>
      <c r="D52" t="s">
        <v>119</v>
      </c>
      <c r="E52" s="4" t="s">
        <v>635</v>
      </c>
      <c r="F52" t="s">
        <v>571</v>
      </c>
      <c r="G52">
        <v>6.687039756477386</v>
      </c>
      <c r="H52">
        <v>-70.915573593260618</v>
      </c>
      <c r="I52" t="s">
        <v>124</v>
      </c>
      <c r="J52" t="s">
        <v>609</v>
      </c>
      <c r="K52" t="s">
        <v>121</v>
      </c>
      <c r="L52">
        <v>50</v>
      </c>
      <c r="M52">
        <v>8767</v>
      </c>
    </row>
    <row r="53" spans="1:13" x14ac:dyDescent="0.25">
      <c r="A53">
        <v>52</v>
      </c>
      <c r="B53" t="s">
        <v>238</v>
      </c>
      <c r="C53" t="s">
        <v>289</v>
      </c>
      <c r="D53" t="s">
        <v>126</v>
      </c>
      <c r="E53" s="4" t="s">
        <v>631</v>
      </c>
      <c r="F53" t="s">
        <v>563</v>
      </c>
      <c r="G53">
        <v>5.0746069071255482</v>
      </c>
      <c r="H53">
        <v>-72.598640940338257</v>
      </c>
      <c r="I53" t="s">
        <v>124</v>
      </c>
      <c r="J53" t="s">
        <v>605</v>
      </c>
      <c r="K53" t="s">
        <v>132</v>
      </c>
      <c r="L53">
        <v>30</v>
      </c>
      <c r="M53">
        <v>34705</v>
      </c>
    </row>
    <row r="54" spans="1:13" x14ac:dyDescent="0.25">
      <c r="A54">
        <v>53</v>
      </c>
      <c r="B54" t="s">
        <v>239</v>
      </c>
      <c r="C54" t="s">
        <v>290</v>
      </c>
      <c r="D54" t="s">
        <v>234</v>
      </c>
      <c r="E54" s="4" t="s">
        <v>636</v>
      </c>
      <c r="F54" t="s">
        <v>569</v>
      </c>
      <c r="G54">
        <v>4.6952175398914413</v>
      </c>
      <c r="H54">
        <v>-72.551021780317811</v>
      </c>
      <c r="I54" t="s">
        <v>127</v>
      </c>
      <c r="J54" t="s">
        <v>613</v>
      </c>
      <c r="K54" t="s">
        <v>121</v>
      </c>
      <c r="L54">
        <v>100</v>
      </c>
      <c r="M54">
        <v>25891</v>
      </c>
    </row>
    <row r="55" spans="1:13" x14ac:dyDescent="0.25">
      <c r="A55">
        <v>54</v>
      </c>
      <c r="B55" t="s">
        <v>240</v>
      </c>
      <c r="C55" t="s">
        <v>291</v>
      </c>
      <c r="D55" t="s">
        <v>230</v>
      </c>
      <c r="E55" s="4" t="s">
        <v>628</v>
      </c>
      <c r="F55" t="s">
        <v>569</v>
      </c>
      <c r="G55">
        <v>6.1868877286524846</v>
      </c>
      <c r="H55">
        <v>-72.745357750902869</v>
      </c>
      <c r="I55" t="s">
        <v>582</v>
      </c>
      <c r="J55" t="s">
        <v>605</v>
      </c>
      <c r="K55" t="s">
        <v>121</v>
      </c>
      <c r="L55">
        <v>30</v>
      </c>
      <c r="M55">
        <v>48581</v>
      </c>
    </row>
    <row r="56" spans="1:13" x14ac:dyDescent="0.25">
      <c r="A56">
        <v>55</v>
      </c>
      <c r="B56" t="s">
        <v>241</v>
      </c>
      <c r="C56" t="s">
        <v>292</v>
      </c>
      <c r="D56" t="s">
        <v>131</v>
      </c>
      <c r="E56" s="4" t="s">
        <v>632</v>
      </c>
      <c r="F56" t="s">
        <v>571</v>
      </c>
      <c r="G56">
        <v>6.8072257004683125</v>
      </c>
      <c r="H56">
        <v>-70.200314682286077</v>
      </c>
      <c r="I56" t="s">
        <v>127</v>
      </c>
      <c r="J56" t="s">
        <v>603</v>
      </c>
      <c r="K56" t="s">
        <v>121</v>
      </c>
      <c r="L56">
        <v>100</v>
      </c>
      <c r="M56">
        <v>21467</v>
      </c>
    </row>
    <row r="57" spans="1:13" x14ac:dyDescent="0.25">
      <c r="A57">
        <v>56</v>
      </c>
      <c r="B57" t="s">
        <v>242</v>
      </c>
      <c r="C57" t="s">
        <v>293</v>
      </c>
      <c r="D57" t="s">
        <v>129</v>
      </c>
      <c r="E57" s="4" t="s">
        <v>633</v>
      </c>
      <c r="F57" t="s">
        <v>563</v>
      </c>
      <c r="G57">
        <v>4.8557658767628862</v>
      </c>
      <c r="H57">
        <v>-73.924926570394447</v>
      </c>
      <c r="I57" t="s">
        <v>582</v>
      </c>
      <c r="J57" t="s">
        <v>603</v>
      </c>
      <c r="K57" t="s">
        <v>121</v>
      </c>
      <c r="L57">
        <v>100</v>
      </c>
      <c r="M57">
        <v>27294</v>
      </c>
    </row>
    <row r="58" spans="1:13" x14ac:dyDescent="0.25">
      <c r="A58">
        <v>57</v>
      </c>
      <c r="B58" t="s">
        <v>243</v>
      </c>
      <c r="C58" t="s">
        <v>294</v>
      </c>
      <c r="D58" t="s">
        <v>233</v>
      </c>
      <c r="E58" s="4" t="s">
        <v>629</v>
      </c>
      <c r="F58" t="s">
        <v>565</v>
      </c>
      <c r="G58">
        <v>6.4279183641139239</v>
      </c>
      <c r="H58">
        <v>-71.211097641225365</v>
      </c>
      <c r="I58" t="s">
        <v>580</v>
      </c>
      <c r="J58" t="s">
        <v>607</v>
      </c>
      <c r="K58" t="s">
        <v>121</v>
      </c>
      <c r="L58">
        <v>50</v>
      </c>
      <c r="M58">
        <v>48846</v>
      </c>
    </row>
    <row r="59" spans="1:13" x14ac:dyDescent="0.25">
      <c r="A59">
        <v>58</v>
      </c>
      <c r="B59" t="s">
        <v>244</v>
      </c>
      <c r="C59" t="s">
        <v>295</v>
      </c>
      <c r="D59" t="s">
        <v>230</v>
      </c>
      <c r="E59" s="4" t="s">
        <v>628</v>
      </c>
      <c r="F59" t="s">
        <v>563</v>
      </c>
      <c r="G59">
        <v>4.9417129880593249</v>
      </c>
      <c r="H59">
        <v>-71.088178632036886</v>
      </c>
      <c r="I59" t="s">
        <v>120</v>
      </c>
      <c r="J59" t="s">
        <v>603</v>
      </c>
      <c r="K59" t="s">
        <v>121</v>
      </c>
      <c r="L59">
        <v>40</v>
      </c>
      <c r="M59">
        <v>19128</v>
      </c>
    </row>
    <row r="60" spans="1:13" x14ac:dyDescent="0.25">
      <c r="A60">
        <v>59</v>
      </c>
      <c r="B60" t="s">
        <v>245</v>
      </c>
      <c r="C60" t="s">
        <v>296</v>
      </c>
      <c r="D60" t="s">
        <v>229</v>
      </c>
      <c r="E60" s="4" t="s">
        <v>639</v>
      </c>
      <c r="F60" t="s">
        <v>565</v>
      </c>
      <c r="G60">
        <v>6.740355269873529</v>
      </c>
      <c r="H60">
        <v>-73.68536923857485</v>
      </c>
      <c r="I60" t="s">
        <v>124</v>
      </c>
      <c r="J60" t="s">
        <v>613</v>
      </c>
      <c r="K60" t="s">
        <v>121</v>
      </c>
      <c r="L60">
        <v>30</v>
      </c>
      <c r="M60">
        <v>21437</v>
      </c>
    </row>
    <row r="61" spans="1:13" x14ac:dyDescent="0.25">
      <c r="A61">
        <v>60</v>
      </c>
      <c r="B61" t="s">
        <v>246</v>
      </c>
      <c r="C61" t="s">
        <v>297</v>
      </c>
      <c r="D61" t="s">
        <v>235</v>
      </c>
      <c r="E61" s="4" t="s">
        <v>638</v>
      </c>
      <c r="F61" t="s">
        <v>569</v>
      </c>
      <c r="G61">
        <v>6.9456730253981886</v>
      </c>
      <c r="H61">
        <v>-71.759338081411158</v>
      </c>
      <c r="I61" t="s">
        <v>127</v>
      </c>
      <c r="J61" t="s">
        <v>607</v>
      </c>
      <c r="K61" t="s">
        <v>121</v>
      </c>
      <c r="L61">
        <v>100</v>
      </c>
      <c r="M61">
        <v>35286</v>
      </c>
    </row>
    <row r="62" spans="1:13" x14ac:dyDescent="0.25">
      <c r="A62">
        <v>61</v>
      </c>
      <c r="B62" t="s">
        <v>247</v>
      </c>
      <c r="C62" t="s">
        <v>298</v>
      </c>
      <c r="D62" t="s">
        <v>234</v>
      </c>
      <c r="E62" s="4" t="s">
        <v>636</v>
      </c>
      <c r="F62" t="s">
        <v>563</v>
      </c>
      <c r="G62">
        <v>5.9868527289011446</v>
      </c>
      <c r="H62">
        <v>-73.060323729892886</v>
      </c>
      <c r="I62" t="s">
        <v>127</v>
      </c>
      <c r="J62" t="s">
        <v>607</v>
      </c>
      <c r="K62" t="s">
        <v>132</v>
      </c>
      <c r="L62">
        <v>100</v>
      </c>
      <c r="M62">
        <v>40980</v>
      </c>
    </row>
    <row r="63" spans="1:13" x14ac:dyDescent="0.25">
      <c r="A63">
        <v>62</v>
      </c>
      <c r="B63" t="s">
        <v>248</v>
      </c>
      <c r="C63" t="s">
        <v>299</v>
      </c>
      <c r="D63" t="s">
        <v>119</v>
      </c>
      <c r="E63" s="4" t="s">
        <v>635</v>
      </c>
      <c r="F63" t="s">
        <v>563</v>
      </c>
      <c r="G63">
        <v>4.7797658322766461</v>
      </c>
      <c r="H63">
        <v>-72.456043703393405</v>
      </c>
      <c r="I63" t="s">
        <v>120</v>
      </c>
      <c r="J63" t="s">
        <v>605</v>
      </c>
      <c r="K63" t="s">
        <v>132</v>
      </c>
      <c r="L63">
        <v>40</v>
      </c>
      <c r="M63">
        <v>44167</v>
      </c>
    </row>
    <row r="64" spans="1:13" x14ac:dyDescent="0.25">
      <c r="A64">
        <v>63</v>
      </c>
      <c r="B64" t="s">
        <v>249</v>
      </c>
      <c r="C64" t="s">
        <v>300</v>
      </c>
      <c r="D64" t="s">
        <v>235</v>
      </c>
      <c r="E64" s="4" t="s">
        <v>638</v>
      </c>
      <c r="F64" t="s">
        <v>569</v>
      </c>
      <c r="G64">
        <v>6.017312095834086</v>
      </c>
      <c r="H64">
        <v>-72.49657382573784</v>
      </c>
      <c r="I64" t="s">
        <v>120</v>
      </c>
      <c r="J64" t="s">
        <v>611</v>
      </c>
      <c r="K64" t="s">
        <v>121</v>
      </c>
      <c r="L64">
        <v>30</v>
      </c>
      <c r="M64">
        <v>47650</v>
      </c>
    </row>
    <row r="65" spans="1:13" x14ac:dyDescent="0.25">
      <c r="A65">
        <v>64</v>
      </c>
      <c r="B65" t="s">
        <v>250</v>
      </c>
      <c r="C65" t="s">
        <v>301</v>
      </c>
      <c r="D65" t="s">
        <v>126</v>
      </c>
      <c r="E65" s="4" t="s">
        <v>631</v>
      </c>
      <c r="F65" t="s">
        <v>571</v>
      </c>
      <c r="G65">
        <v>6.2209278474320886</v>
      </c>
      <c r="H65">
        <v>-72.904732463065429</v>
      </c>
      <c r="I65" t="s">
        <v>580</v>
      </c>
      <c r="J65" t="s">
        <v>609</v>
      </c>
      <c r="K65" t="s">
        <v>121</v>
      </c>
      <c r="L65">
        <v>30</v>
      </c>
      <c r="M65">
        <v>43192</v>
      </c>
    </row>
    <row r="66" spans="1:13" x14ac:dyDescent="0.25">
      <c r="A66">
        <v>65</v>
      </c>
      <c r="B66" t="s">
        <v>251</v>
      </c>
      <c r="C66" t="s">
        <v>302</v>
      </c>
      <c r="D66" t="s">
        <v>119</v>
      </c>
      <c r="E66" s="4" t="s">
        <v>635</v>
      </c>
      <c r="F66" t="s">
        <v>567</v>
      </c>
      <c r="G66">
        <v>5.3992889193917719</v>
      </c>
      <c r="H66">
        <v>-70.602262021638069</v>
      </c>
      <c r="I66" t="s">
        <v>580</v>
      </c>
      <c r="J66" t="s">
        <v>605</v>
      </c>
      <c r="K66" t="s">
        <v>121</v>
      </c>
      <c r="L66">
        <v>30</v>
      </c>
      <c r="M66">
        <v>18870</v>
      </c>
    </row>
    <row r="67" spans="1:13" x14ac:dyDescent="0.25">
      <c r="A67">
        <v>66</v>
      </c>
      <c r="B67" t="s">
        <v>252</v>
      </c>
      <c r="C67" t="s">
        <v>303</v>
      </c>
      <c r="D67" t="s">
        <v>230</v>
      </c>
      <c r="E67" s="4" t="s">
        <v>628</v>
      </c>
      <c r="F67" t="s">
        <v>567</v>
      </c>
      <c r="G67">
        <v>6.9596179455069498</v>
      </c>
      <c r="H67">
        <v>-73.230503081737723</v>
      </c>
      <c r="I67" t="s">
        <v>120</v>
      </c>
      <c r="J67" t="s">
        <v>603</v>
      </c>
      <c r="K67" t="s">
        <v>121</v>
      </c>
      <c r="L67">
        <v>40</v>
      </c>
      <c r="M67">
        <v>15422</v>
      </c>
    </row>
    <row r="68" spans="1:13" x14ac:dyDescent="0.25">
      <c r="A68">
        <v>67</v>
      </c>
      <c r="B68" t="s">
        <v>253</v>
      </c>
      <c r="C68" t="s">
        <v>304</v>
      </c>
      <c r="D68" t="s">
        <v>230</v>
      </c>
      <c r="E68" s="4" t="s">
        <v>628</v>
      </c>
      <c r="F68" t="s">
        <v>569</v>
      </c>
      <c r="G68">
        <v>5.3769543947658907</v>
      </c>
      <c r="H68">
        <v>-73.802208539019034</v>
      </c>
      <c r="I68" t="s">
        <v>578</v>
      </c>
      <c r="J68" t="s">
        <v>607</v>
      </c>
      <c r="K68" t="s">
        <v>121</v>
      </c>
      <c r="L68">
        <v>80</v>
      </c>
      <c r="M68">
        <v>22780</v>
      </c>
    </row>
    <row r="69" spans="1:13" x14ac:dyDescent="0.25">
      <c r="A69">
        <v>68</v>
      </c>
      <c r="B69" t="s">
        <v>254</v>
      </c>
      <c r="C69" t="s">
        <v>305</v>
      </c>
      <c r="D69" t="s">
        <v>131</v>
      </c>
      <c r="E69" s="4" t="s">
        <v>632</v>
      </c>
      <c r="F69" t="s">
        <v>571</v>
      </c>
      <c r="G69">
        <v>5.5164902314197155</v>
      </c>
      <c r="H69">
        <v>-72.582200017337783</v>
      </c>
      <c r="I69" t="s">
        <v>124</v>
      </c>
      <c r="J69" t="s">
        <v>609</v>
      </c>
      <c r="K69" t="s">
        <v>132</v>
      </c>
      <c r="L69">
        <v>100</v>
      </c>
      <c r="M69">
        <v>36684</v>
      </c>
    </row>
    <row r="70" spans="1:13" x14ac:dyDescent="0.25">
      <c r="A70">
        <v>69</v>
      </c>
      <c r="B70" t="s">
        <v>255</v>
      </c>
      <c r="C70" t="s">
        <v>306</v>
      </c>
      <c r="D70" t="s">
        <v>129</v>
      </c>
      <c r="E70" s="4" t="s">
        <v>633</v>
      </c>
      <c r="F70" t="s">
        <v>563</v>
      </c>
      <c r="G70">
        <v>4.5388315403491859</v>
      </c>
      <c r="H70">
        <v>-70.524164929426817</v>
      </c>
      <c r="I70" t="s">
        <v>124</v>
      </c>
      <c r="J70" t="s">
        <v>607</v>
      </c>
      <c r="K70" t="s">
        <v>132</v>
      </c>
      <c r="L70">
        <v>50</v>
      </c>
      <c r="M70">
        <v>34330</v>
      </c>
    </row>
    <row r="71" spans="1:13" x14ac:dyDescent="0.25">
      <c r="A71">
        <v>70</v>
      </c>
      <c r="B71" t="s">
        <v>256</v>
      </c>
      <c r="C71" t="s">
        <v>307</v>
      </c>
      <c r="D71" t="s">
        <v>123</v>
      </c>
      <c r="E71" s="4" t="s">
        <v>634</v>
      </c>
      <c r="F71" t="s">
        <v>565</v>
      </c>
      <c r="G71">
        <v>6.7061854782366765</v>
      </c>
      <c r="H71">
        <v>-70.735603332272902</v>
      </c>
      <c r="I71" t="s">
        <v>120</v>
      </c>
      <c r="J71" t="s">
        <v>609</v>
      </c>
      <c r="K71" t="s">
        <v>132</v>
      </c>
      <c r="L71">
        <v>60</v>
      </c>
      <c r="M71">
        <v>16342</v>
      </c>
    </row>
    <row r="72" spans="1:13" x14ac:dyDescent="0.25">
      <c r="A72">
        <v>71</v>
      </c>
      <c r="B72" t="s">
        <v>257</v>
      </c>
      <c r="C72" t="s">
        <v>308</v>
      </c>
      <c r="D72" t="s">
        <v>131</v>
      </c>
      <c r="E72" s="4" t="s">
        <v>632</v>
      </c>
      <c r="F72" t="s">
        <v>565</v>
      </c>
      <c r="G72">
        <v>4.8821264223684882</v>
      </c>
      <c r="H72">
        <v>-70.513099667871117</v>
      </c>
      <c r="I72" t="s">
        <v>582</v>
      </c>
      <c r="J72" t="s">
        <v>607</v>
      </c>
      <c r="K72" t="s">
        <v>121</v>
      </c>
      <c r="L72">
        <v>80</v>
      </c>
      <c r="M72">
        <v>5886</v>
      </c>
    </row>
    <row r="73" spans="1:13" x14ac:dyDescent="0.25">
      <c r="A73">
        <v>72</v>
      </c>
      <c r="B73" t="s">
        <v>258</v>
      </c>
      <c r="C73" t="s">
        <v>309</v>
      </c>
      <c r="D73" t="s">
        <v>234</v>
      </c>
      <c r="E73" s="4" t="s">
        <v>636</v>
      </c>
      <c r="F73" t="s">
        <v>567</v>
      </c>
      <c r="G73">
        <v>5.6497417022372458</v>
      </c>
      <c r="H73">
        <v>-70.117374317283279</v>
      </c>
      <c r="I73" t="s">
        <v>127</v>
      </c>
      <c r="J73" t="s">
        <v>607</v>
      </c>
      <c r="K73" t="s">
        <v>121</v>
      </c>
      <c r="L73">
        <v>30</v>
      </c>
      <c r="M73">
        <v>9766</v>
      </c>
    </row>
    <row r="74" spans="1:13" x14ac:dyDescent="0.25">
      <c r="A74">
        <v>73</v>
      </c>
      <c r="B74" t="s">
        <v>259</v>
      </c>
      <c r="C74" t="s">
        <v>310</v>
      </c>
      <c r="D74" t="s">
        <v>235</v>
      </c>
      <c r="E74" s="4" t="s">
        <v>638</v>
      </c>
      <c r="F74" t="s">
        <v>567</v>
      </c>
      <c r="G74">
        <v>6.2578048515788565</v>
      </c>
      <c r="H74">
        <v>-72.688379323135862</v>
      </c>
      <c r="I74" t="s">
        <v>578</v>
      </c>
      <c r="J74" t="s">
        <v>607</v>
      </c>
      <c r="K74" t="s">
        <v>132</v>
      </c>
      <c r="L74">
        <v>30</v>
      </c>
      <c r="M74">
        <v>46435</v>
      </c>
    </row>
    <row r="75" spans="1:13" x14ac:dyDescent="0.25">
      <c r="A75">
        <v>74</v>
      </c>
      <c r="B75" t="s">
        <v>260</v>
      </c>
      <c r="C75" t="s">
        <v>311</v>
      </c>
      <c r="D75" t="s">
        <v>126</v>
      </c>
      <c r="E75" s="4" t="s">
        <v>631</v>
      </c>
      <c r="F75" t="s">
        <v>571</v>
      </c>
      <c r="G75">
        <v>6.4787816762601214</v>
      </c>
      <c r="H75">
        <v>-70.686053083091409</v>
      </c>
      <c r="I75" t="s">
        <v>124</v>
      </c>
      <c r="J75" t="s">
        <v>607</v>
      </c>
      <c r="K75" t="s">
        <v>132</v>
      </c>
      <c r="L75">
        <v>60</v>
      </c>
      <c r="M75">
        <v>33120</v>
      </c>
    </row>
    <row r="76" spans="1:13" x14ac:dyDescent="0.25">
      <c r="A76">
        <v>75</v>
      </c>
      <c r="B76" t="s">
        <v>261</v>
      </c>
      <c r="C76" t="s">
        <v>312</v>
      </c>
      <c r="D76" t="s">
        <v>230</v>
      </c>
      <c r="E76" s="4" t="s">
        <v>628</v>
      </c>
      <c r="F76" t="s">
        <v>571</v>
      </c>
      <c r="G76">
        <v>5.860224352083673</v>
      </c>
      <c r="H76">
        <v>-72.053138277264978</v>
      </c>
      <c r="I76" t="s">
        <v>120</v>
      </c>
      <c r="J76" t="s">
        <v>603</v>
      </c>
      <c r="K76" t="s">
        <v>121</v>
      </c>
      <c r="L76">
        <v>100</v>
      </c>
      <c r="M76">
        <v>47506</v>
      </c>
    </row>
    <row r="77" spans="1:13" x14ac:dyDescent="0.25">
      <c r="A77">
        <v>76</v>
      </c>
      <c r="B77" t="s">
        <v>262</v>
      </c>
      <c r="C77" t="s">
        <v>313</v>
      </c>
      <c r="D77" t="s">
        <v>235</v>
      </c>
      <c r="E77" s="4" t="s">
        <v>638</v>
      </c>
      <c r="F77" t="s">
        <v>565</v>
      </c>
      <c r="G77">
        <v>4.2366219832313439</v>
      </c>
      <c r="H77">
        <v>-70.96707907246541</v>
      </c>
      <c r="I77" t="s">
        <v>127</v>
      </c>
      <c r="J77" t="s">
        <v>607</v>
      </c>
      <c r="K77" t="s">
        <v>132</v>
      </c>
      <c r="L77">
        <v>80</v>
      </c>
      <c r="M77">
        <v>46421</v>
      </c>
    </row>
    <row r="78" spans="1:13" x14ac:dyDescent="0.25">
      <c r="A78">
        <v>77</v>
      </c>
      <c r="B78" t="s">
        <v>263</v>
      </c>
      <c r="C78" t="s">
        <v>314</v>
      </c>
      <c r="D78" t="s">
        <v>234</v>
      </c>
      <c r="E78" s="4" t="s">
        <v>636</v>
      </c>
      <c r="F78" t="s">
        <v>567</v>
      </c>
      <c r="G78">
        <v>6.1001401366085952</v>
      </c>
      <c r="H78">
        <v>-71.75980510049304</v>
      </c>
      <c r="I78" t="s">
        <v>124</v>
      </c>
      <c r="J78" t="s">
        <v>605</v>
      </c>
      <c r="K78" t="s">
        <v>132</v>
      </c>
      <c r="L78">
        <v>50</v>
      </c>
      <c r="M78">
        <v>12980</v>
      </c>
    </row>
    <row r="79" spans="1:13" x14ac:dyDescent="0.25">
      <c r="A79">
        <v>78</v>
      </c>
      <c r="B79" t="s">
        <v>264</v>
      </c>
      <c r="C79" t="s">
        <v>315</v>
      </c>
      <c r="D79" t="s">
        <v>232</v>
      </c>
      <c r="E79" s="4" t="s">
        <v>630</v>
      </c>
      <c r="F79" t="s">
        <v>571</v>
      </c>
      <c r="G79">
        <v>6.9467664871387056</v>
      </c>
      <c r="H79">
        <v>-72.812790844533666</v>
      </c>
      <c r="I79" t="s">
        <v>582</v>
      </c>
      <c r="J79" t="s">
        <v>603</v>
      </c>
      <c r="K79" t="s">
        <v>132</v>
      </c>
      <c r="L79">
        <v>50</v>
      </c>
      <c r="M79">
        <v>40446</v>
      </c>
    </row>
    <row r="80" spans="1:13" x14ac:dyDescent="0.25">
      <c r="A80">
        <v>79</v>
      </c>
      <c r="B80" t="s">
        <v>265</v>
      </c>
      <c r="C80" t="s">
        <v>316</v>
      </c>
      <c r="D80" t="s">
        <v>229</v>
      </c>
      <c r="E80" s="4" t="s">
        <v>639</v>
      </c>
      <c r="F80" t="s">
        <v>569</v>
      </c>
      <c r="G80">
        <v>5.863680705381114</v>
      </c>
      <c r="H80">
        <v>-71.846826791145872</v>
      </c>
      <c r="I80" t="s">
        <v>580</v>
      </c>
      <c r="J80" t="s">
        <v>613</v>
      </c>
      <c r="K80" t="s">
        <v>121</v>
      </c>
      <c r="L80">
        <v>60</v>
      </c>
      <c r="M80">
        <v>31106</v>
      </c>
    </row>
    <row r="81" spans="1:13" x14ac:dyDescent="0.25">
      <c r="A81">
        <v>80</v>
      </c>
      <c r="B81" t="s">
        <v>266</v>
      </c>
      <c r="C81" t="s">
        <v>317</v>
      </c>
      <c r="D81" t="s">
        <v>230</v>
      </c>
      <c r="E81" s="4" t="s">
        <v>628</v>
      </c>
      <c r="F81" t="s">
        <v>567</v>
      </c>
      <c r="G81">
        <v>5.9714706035077549</v>
      </c>
      <c r="H81">
        <v>-70.265767466076923</v>
      </c>
      <c r="I81" t="s">
        <v>127</v>
      </c>
      <c r="J81" t="s">
        <v>613</v>
      </c>
      <c r="K81" t="s">
        <v>121</v>
      </c>
      <c r="L81">
        <v>100</v>
      </c>
      <c r="M81">
        <v>45111</v>
      </c>
    </row>
    <row r="82" spans="1:13" x14ac:dyDescent="0.25">
      <c r="A82">
        <v>81</v>
      </c>
      <c r="B82" t="s">
        <v>267</v>
      </c>
      <c r="C82" t="s">
        <v>318</v>
      </c>
      <c r="D82" t="s">
        <v>123</v>
      </c>
      <c r="E82" s="4" t="s">
        <v>634</v>
      </c>
      <c r="F82" t="s">
        <v>565</v>
      </c>
      <c r="G82">
        <v>4.9099838881386519</v>
      </c>
      <c r="H82">
        <v>-71.744053188711277</v>
      </c>
      <c r="I82" t="s">
        <v>127</v>
      </c>
      <c r="J82" t="s">
        <v>613</v>
      </c>
      <c r="K82" t="s">
        <v>121</v>
      </c>
      <c r="L82">
        <v>80</v>
      </c>
      <c r="M82">
        <v>8167</v>
      </c>
    </row>
    <row r="83" spans="1:13" x14ac:dyDescent="0.25">
      <c r="A83">
        <v>82</v>
      </c>
      <c r="B83" t="s">
        <v>268</v>
      </c>
      <c r="C83" t="s">
        <v>319</v>
      </c>
      <c r="D83" t="s">
        <v>129</v>
      </c>
      <c r="E83" s="4" t="s">
        <v>633</v>
      </c>
      <c r="F83" t="s">
        <v>569</v>
      </c>
      <c r="G83">
        <v>4.5775455687334263</v>
      </c>
      <c r="H83">
        <v>-71.022725227936803</v>
      </c>
      <c r="I83" t="s">
        <v>578</v>
      </c>
      <c r="J83" t="s">
        <v>603</v>
      </c>
      <c r="K83" t="s">
        <v>132</v>
      </c>
      <c r="L83">
        <v>80</v>
      </c>
      <c r="M83">
        <v>47313</v>
      </c>
    </row>
    <row r="84" spans="1:13" x14ac:dyDescent="0.25">
      <c r="A84">
        <v>83</v>
      </c>
      <c r="B84" t="s">
        <v>269</v>
      </c>
      <c r="C84" t="s">
        <v>320</v>
      </c>
      <c r="D84" t="s">
        <v>129</v>
      </c>
      <c r="E84" s="4" t="s">
        <v>633</v>
      </c>
      <c r="F84" t="s">
        <v>567</v>
      </c>
      <c r="G84">
        <v>4.9041426968738984</v>
      </c>
      <c r="H84">
        <v>-70.351125663980497</v>
      </c>
      <c r="I84" t="s">
        <v>580</v>
      </c>
      <c r="J84" t="s">
        <v>603</v>
      </c>
      <c r="K84" t="s">
        <v>121</v>
      </c>
      <c r="L84">
        <v>60</v>
      </c>
      <c r="M84">
        <v>33293</v>
      </c>
    </row>
    <row r="85" spans="1:13" x14ac:dyDescent="0.25">
      <c r="A85">
        <v>84</v>
      </c>
      <c r="B85" t="s">
        <v>271</v>
      </c>
      <c r="C85" t="s">
        <v>321</v>
      </c>
      <c r="D85" t="s">
        <v>123</v>
      </c>
      <c r="E85" s="4" t="s">
        <v>634</v>
      </c>
      <c r="F85" t="s">
        <v>565</v>
      </c>
      <c r="G85">
        <v>5.6920465530535154</v>
      </c>
      <c r="H85">
        <v>-73.345466714778226</v>
      </c>
      <c r="I85" t="s">
        <v>580</v>
      </c>
      <c r="J85" t="s">
        <v>609</v>
      </c>
      <c r="K85" t="s">
        <v>121</v>
      </c>
      <c r="L85">
        <v>100</v>
      </c>
      <c r="M85">
        <v>5712</v>
      </c>
    </row>
    <row r="86" spans="1:13" x14ac:dyDescent="0.25">
      <c r="A86">
        <v>85</v>
      </c>
      <c r="B86" t="s">
        <v>272</v>
      </c>
      <c r="C86" t="s">
        <v>322</v>
      </c>
      <c r="D86" t="s">
        <v>126</v>
      </c>
      <c r="E86" s="4" t="s">
        <v>631</v>
      </c>
      <c r="F86" t="s">
        <v>563</v>
      </c>
      <c r="G86">
        <v>4.3917341279994684</v>
      </c>
      <c r="H86">
        <v>-71.746022659090329</v>
      </c>
      <c r="I86" t="s">
        <v>127</v>
      </c>
      <c r="J86" t="s">
        <v>607</v>
      </c>
      <c r="K86" t="s">
        <v>121</v>
      </c>
      <c r="L86">
        <v>30</v>
      </c>
      <c r="M86">
        <v>12541</v>
      </c>
    </row>
    <row r="87" spans="1:13" x14ac:dyDescent="0.25">
      <c r="A87">
        <v>86</v>
      </c>
      <c r="B87" t="s">
        <v>273</v>
      </c>
      <c r="C87" t="s">
        <v>323</v>
      </c>
      <c r="D87" t="s">
        <v>131</v>
      </c>
      <c r="E87" s="4" t="s">
        <v>632</v>
      </c>
      <c r="F87" t="s">
        <v>563</v>
      </c>
      <c r="G87">
        <v>6.2455552024137271</v>
      </c>
      <c r="H87">
        <v>-70.900989795778997</v>
      </c>
      <c r="I87" t="s">
        <v>578</v>
      </c>
      <c r="J87" t="s">
        <v>609</v>
      </c>
      <c r="K87" t="s">
        <v>132</v>
      </c>
      <c r="L87">
        <v>80</v>
      </c>
      <c r="M87">
        <v>20530</v>
      </c>
    </row>
    <row r="88" spans="1:13" x14ac:dyDescent="0.25">
      <c r="A88">
        <v>87</v>
      </c>
      <c r="B88" t="s">
        <v>274</v>
      </c>
      <c r="C88" t="s">
        <v>324</v>
      </c>
      <c r="D88" t="s">
        <v>233</v>
      </c>
      <c r="E88" s="4" t="s">
        <v>629</v>
      </c>
      <c r="F88" t="s">
        <v>571</v>
      </c>
      <c r="G88">
        <v>5.3174597505593626</v>
      </c>
      <c r="H88">
        <v>-71.266738720371421</v>
      </c>
      <c r="I88" t="s">
        <v>582</v>
      </c>
      <c r="J88" t="s">
        <v>607</v>
      </c>
      <c r="K88" t="s">
        <v>121</v>
      </c>
      <c r="L88">
        <v>40</v>
      </c>
      <c r="M88">
        <v>7307</v>
      </c>
    </row>
    <row r="89" spans="1:13" x14ac:dyDescent="0.25">
      <c r="A89">
        <v>88</v>
      </c>
      <c r="B89" t="s">
        <v>275</v>
      </c>
      <c r="C89" t="s">
        <v>325</v>
      </c>
      <c r="D89" t="s">
        <v>131</v>
      </c>
      <c r="E89" s="4" t="s">
        <v>632</v>
      </c>
      <c r="F89" t="s">
        <v>565</v>
      </c>
      <c r="G89">
        <v>6.4526181196105892</v>
      </c>
      <c r="H89">
        <v>-72.584430667036557</v>
      </c>
      <c r="I89" t="s">
        <v>582</v>
      </c>
      <c r="J89" t="s">
        <v>605</v>
      </c>
      <c r="K89" t="s">
        <v>132</v>
      </c>
      <c r="L89">
        <v>60</v>
      </c>
      <c r="M89">
        <v>12136</v>
      </c>
    </row>
    <row r="90" spans="1:13" x14ac:dyDescent="0.25">
      <c r="A90">
        <v>89</v>
      </c>
      <c r="B90" t="s">
        <v>276</v>
      </c>
      <c r="C90" t="s">
        <v>326</v>
      </c>
      <c r="D90" t="s">
        <v>229</v>
      </c>
      <c r="E90" s="4" t="s">
        <v>639</v>
      </c>
      <c r="F90" t="s">
        <v>567</v>
      </c>
      <c r="G90">
        <v>4.3085173965947741</v>
      </c>
      <c r="H90">
        <v>-72.543777109005021</v>
      </c>
      <c r="I90" t="s">
        <v>578</v>
      </c>
      <c r="J90" t="s">
        <v>605</v>
      </c>
      <c r="K90" t="s">
        <v>132</v>
      </c>
      <c r="L90">
        <v>80</v>
      </c>
      <c r="M90">
        <v>32562</v>
      </c>
    </row>
    <row r="91" spans="1:13" x14ac:dyDescent="0.25">
      <c r="A91">
        <v>90</v>
      </c>
      <c r="B91" t="s">
        <v>277</v>
      </c>
      <c r="C91" t="s">
        <v>327</v>
      </c>
      <c r="D91" t="s">
        <v>129</v>
      </c>
      <c r="E91" s="4" t="s">
        <v>633</v>
      </c>
      <c r="F91" t="s">
        <v>563</v>
      </c>
      <c r="G91">
        <v>4.4426651346540789</v>
      </c>
      <c r="H91">
        <v>-70.653242007029576</v>
      </c>
      <c r="I91" t="s">
        <v>127</v>
      </c>
      <c r="J91" t="s">
        <v>605</v>
      </c>
      <c r="K91" t="s">
        <v>132</v>
      </c>
      <c r="L91">
        <v>80</v>
      </c>
      <c r="M91">
        <v>48944</v>
      </c>
    </row>
    <row r="92" spans="1:13" x14ac:dyDescent="0.25">
      <c r="A92">
        <v>91</v>
      </c>
      <c r="B92" t="s">
        <v>278</v>
      </c>
      <c r="C92" t="s">
        <v>328</v>
      </c>
      <c r="D92" t="s">
        <v>123</v>
      </c>
      <c r="E92" s="4" t="s">
        <v>634</v>
      </c>
      <c r="F92" t="s">
        <v>567</v>
      </c>
      <c r="G92">
        <v>4.1583952001798741</v>
      </c>
      <c r="H92">
        <v>-72.665177376230275</v>
      </c>
      <c r="I92" t="s">
        <v>127</v>
      </c>
      <c r="J92" t="s">
        <v>603</v>
      </c>
      <c r="K92" t="s">
        <v>132</v>
      </c>
      <c r="L92">
        <v>30</v>
      </c>
      <c r="M92">
        <v>22851</v>
      </c>
    </row>
    <row r="93" spans="1:13" x14ac:dyDescent="0.25">
      <c r="A93">
        <v>92</v>
      </c>
      <c r="B93" t="s">
        <v>279</v>
      </c>
      <c r="C93" t="s">
        <v>329</v>
      </c>
      <c r="D93" t="s">
        <v>234</v>
      </c>
      <c r="E93" s="4" t="s">
        <v>636</v>
      </c>
      <c r="F93" t="s">
        <v>571</v>
      </c>
      <c r="G93">
        <v>5.9272192935655532</v>
      </c>
      <c r="H93">
        <v>-71.383000333717561</v>
      </c>
      <c r="I93" t="s">
        <v>124</v>
      </c>
      <c r="J93" t="s">
        <v>611</v>
      </c>
      <c r="K93" t="s">
        <v>132</v>
      </c>
      <c r="L93">
        <v>100</v>
      </c>
      <c r="M93">
        <v>28553</v>
      </c>
    </row>
    <row r="94" spans="1:13" x14ac:dyDescent="0.25">
      <c r="A94">
        <v>93</v>
      </c>
      <c r="B94" t="s">
        <v>280</v>
      </c>
      <c r="C94" t="s">
        <v>330</v>
      </c>
      <c r="D94" t="s">
        <v>230</v>
      </c>
      <c r="E94" s="4" t="s">
        <v>628</v>
      </c>
      <c r="F94" t="s">
        <v>569</v>
      </c>
      <c r="G94">
        <v>4.2525561126837248</v>
      </c>
      <c r="H94">
        <v>-70.75700273911238</v>
      </c>
      <c r="I94" t="s">
        <v>582</v>
      </c>
      <c r="J94" t="s">
        <v>611</v>
      </c>
      <c r="K94" t="s">
        <v>132</v>
      </c>
      <c r="L94">
        <v>50</v>
      </c>
      <c r="M94">
        <v>24559</v>
      </c>
    </row>
    <row r="95" spans="1:13" x14ac:dyDescent="0.25">
      <c r="A95">
        <v>94</v>
      </c>
      <c r="B95" t="s">
        <v>281</v>
      </c>
      <c r="C95" t="s">
        <v>331</v>
      </c>
      <c r="D95" t="s">
        <v>230</v>
      </c>
      <c r="E95" s="4" t="s">
        <v>628</v>
      </c>
      <c r="F95" t="s">
        <v>563</v>
      </c>
      <c r="G95">
        <v>4.4516559093714845</v>
      </c>
      <c r="H95">
        <v>-72.018471800440665</v>
      </c>
      <c r="I95" t="s">
        <v>124</v>
      </c>
      <c r="J95" t="s">
        <v>603</v>
      </c>
      <c r="K95" t="s">
        <v>132</v>
      </c>
      <c r="L95">
        <v>60</v>
      </c>
      <c r="M95">
        <v>36252</v>
      </c>
    </row>
    <row r="96" spans="1:13" x14ac:dyDescent="0.25">
      <c r="A96">
        <v>95</v>
      </c>
      <c r="B96" t="s">
        <v>282</v>
      </c>
      <c r="C96" t="s">
        <v>332</v>
      </c>
      <c r="D96" t="s">
        <v>234</v>
      </c>
      <c r="E96" s="4" t="s">
        <v>636</v>
      </c>
      <c r="F96" t="s">
        <v>571</v>
      </c>
      <c r="G96">
        <v>6.0410927383779125</v>
      </c>
      <c r="H96">
        <v>-71.854086494581566</v>
      </c>
      <c r="I96" t="s">
        <v>124</v>
      </c>
      <c r="J96" t="s">
        <v>607</v>
      </c>
      <c r="K96" t="s">
        <v>121</v>
      </c>
      <c r="L96">
        <v>60</v>
      </c>
      <c r="M96">
        <v>14135</v>
      </c>
    </row>
    <row r="97" spans="1:13" x14ac:dyDescent="0.25">
      <c r="A97">
        <v>96</v>
      </c>
      <c r="B97" t="s">
        <v>283</v>
      </c>
      <c r="C97" t="s">
        <v>333</v>
      </c>
      <c r="D97" t="s">
        <v>119</v>
      </c>
      <c r="E97" s="4" t="s">
        <v>635</v>
      </c>
      <c r="F97" t="s">
        <v>569</v>
      </c>
      <c r="G97">
        <v>6.4468401864652298</v>
      </c>
      <c r="H97">
        <v>-73.413574641929031</v>
      </c>
      <c r="I97" t="s">
        <v>127</v>
      </c>
      <c r="J97" t="s">
        <v>607</v>
      </c>
      <c r="K97" t="s">
        <v>132</v>
      </c>
      <c r="L97">
        <v>60</v>
      </c>
      <c r="M97">
        <v>33432</v>
      </c>
    </row>
    <row r="98" spans="1:13" x14ac:dyDescent="0.25">
      <c r="A98">
        <v>97</v>
      </c>
      <c r="B98" t="s">
        <v>284</v>
      </c>
      <c r="C98" t="s">
        <v>334</v>
      </c>
      <c r="D98" t="s">
        <v>129</v>
      </c>
      <c r="E98" s="4" t="s">
        <v>633</v>
      </c>
      <c r="F98" t="s">
        <v>569</v>
      </c>
      <c r="G98">
        <v>6.0471972671004011</v>
      </c>
      <c r="H98">
        <v>-72.559817726182402</v>
      </c>
      <c r="I98" t="s">
        <v>124</v>
      </c>
      <c r="J98" t="s">
        <v>609</v>
      </c>
      <c r="K98" t="s">
        <v>121</v>
      </c>
      <c r="L98">
        <v>40</v>
      </c>
      <c r="M98">
        <v>25642</v>
      </c>
    </row>
    <row r="99" spans="1:13" x14ac:dyDescent="0.25">
      <c r="A99">
        <v>98</v>
      </c>
      <c r="B99" t="s">
        <v>285</v>
      </c>
      <c r="C99" t="s">
        <v>335</v>
      </c>
      <c r="D99" t="s">
        <v>231</v>
      </c>
      <c r="E99" s="4" t="s">
        <v>637</v>
      </c>
      <c r="F99" t="s">
        <v>569</v>
      </c>
      <c r="G99">
        <v>4.6078718191897714</v>
      </c>
      <c r="H99">
        <v>-72.745031903948487</v>
      </c>
      <c r="I99" t="s">
        <v>124</v>
      </c>
      <c r="J99" t="s">
        <v>613</v>
      </c>
      <c r="K99" t="s">
        <v>132</v>
      </c>
      <c r="L99">
        <v>50</v>
      </c>
      <c r="M99">
        <v>27438</v>
      </c>
    </row>
    <row r="100" spans="1:13" x14ac:dyDescent="0.25">
      <c r="A100">
        <v>99</v>
      </c>
      <c r="B100" t="s">
        <v>286</v>
      </c>
      <c r="C100" t="s">
        <v>336</v>
      </c>
      <c r="D100" t="s">
        <v>229</v>
      </c>
      <c r="E100" s="4" t="s">
        <v>639</v>
      </c>
      <c r="F100" t="s">
        <v>569</v>
      </c>
      <c r="G100">
        <v>5.8440737610499971</v>
      </c>
      <c r="H100">
        <v>-72.747406277514841</v>
      </c>
      <c r="I100" t="s">
        <v>582</v>
      </c>
      <c r="J100" t="s">
        <v>607</v>
      </c>
      <c r="K100" t="s">
        <v>121</v>
      </c>
      <c r="L100">
        <v>50</v>
      </c>
      <c r="M100">
        <v>46720</v>
      </c>
    </row>
    <row r="101" spans="1:13" x14ac:dyDescent="0.25">
      <c r="A101">
        <v>100</v>
      </c>
      <c r="B101" t="s">
        <v>287</v>
      </c>
      <c r="C101" t="s">
        <v>337</v>
      </c>
      <c r="D101" t="s">
        <v>235</v>
      </c>
      <c r="E101" s="4" t="s">
        <v>638</v>
      </c>
      <c r="F101" t="s">
        <v>567</v>
      </c>
      <c r="G101">
        <v>5.4823194074579433</v>
      </c>
      <c r="H101">
        <v>-73.336092632724316</v>
      </c>
      <c r="I101" t="s">
        <v>582</v>
      </c>
      <c r="J101" t="s">
        <v>605</v>
      </c>
      <c r="K101" t="s">
        <v>132</v>
      </c>
      <c r="L101">
        <v>30</v>
      </c>
      <c r="M101">
        <v>29595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1"/>
  <sheetViews>
    <sheetView zoomScaleNormal="100" workbookViewId="0">
      <selection activeCell="E7" sqref="E7"/>
    </sheetView>
  </sheetViews>
  <sheetFormatPr baseColWidth="10" defaultColWidth="9.140625" defaultRowHeight="15" x14ac:dyDescent="0.25"/>
  <cols>
    <col min="1" max="1" width="13.7109375" customWidth="1"/>
    <col min="2" max="2" width="14.140625" style="3" customWidth="1"/>
    <col min="3" max="3" width="13.7109375" style="1" customWidth="1"/>
    <col min="4" max="4" width="14" bestFit="1" customWidth="1"/>
    <col min="5" max="5" width="19.85546875" bestFit="1" customWidth="1"/>
    <col min="6" max="6" width="25.140625" bestFit="1" customWidth="1"/>
    <col min="7" max="7" width="21.7109375" bestFit="1" customWidth="1"/>
    <col min="8" max="8" width="8.140625" bestFit="1" customWidth="1"/>
    <col min="9" max="9" width="10.42578125" customWidth="1"/>
    <col min="10" max="10" width="19.140625" bestFit="1" customWidth="1"/>
    <col min="13" max="13" width="10.85546875" bestFit="1" customWidth="1"/>
  </cols>
  <sheetData>
    <row r="1" spans="1:13" ht="15.75" thickBot="1" x14ac:dyDescent="0.3">
      <c r="A1" s="5" t="s">
        <v>0</v>
      </c>
      <c r="B1" s="16" t="s">
        <v>1</v>
      </c>
      <c r="C1" s="19" t="s">
        <v>2</v>
      </c>
      <c r="D1" s="7" t="s">
        <v>3</v>
      </c>
      <c r="E1" s="7" t="s">
        <v>4</v>
      </c>
      <c r="F1" s="7" t="s">
        <v>623</v>
      </c>
      <c r="G1" s="6" t="s">
        <v>5</v>
      </c>
      <c r="H1" s="6" t="s">
        <v>6</v>
      </c>
      <c r="I1" s="7" t="s">
        <v>7</v>
      </c>
      <c r="J1" s="5" t="s">
        <v>8</v>
      </c>
    </row>
    <row r="2" spans="1:13" ht="15.75" thickBot="1" x14ac:dyDescent="0.3">
      <c r="A2" s="12" t="s">
        <v>9</v>
      </c>
      <c r="B2" s="17">
        <v>46189</v>
      </c>
      <c r="C2" s="20">
        <v>0.45055079186221525</v>
      </c>
      <c r="D2" s="15" t="s">
        <v>72</v>
      </c>
      <c r="E2" s="15" t="str">
        <f ca="1">VLOOKUP(RANDBETWEEN(1,8),TipoAccidente!A:C,3,0)</f>
        <v>Salida de vía</v>
      </c>
      <c r="F2" s="15" t="str">
        <f ca="1">VLOOKUP(RANDBETWEEN(1,8),TipoAutomovilResponsable!A:C,3,0)</f>
        <v>Bicicleta</v>
      </c>
      <c r="G2" s="13">
        <f ca="1">RANDBETWEEN(1,3)</f>
        <v>3</v>
      </c>
      <c r="H2" s="14">
        <v>4</v>
      </c>
      <c r="I2" s="25">
        <v>2</v>
      </c>
      <c r="J2" s="12" t="str">
        <f ca="1">VLOOKUP(RANDBETWEEN(1,6),TipoClima!A:C,3,0)</f>
        <v>Nublado</v>
      </c>
    </row>
    <row r="3" spans="1:13" ht="15.75" thickBot="1" x14ac:dyDescent="0.3">
      <c r="A3" s="8" t="s">
        <v>11</v>
      </c>
      <c r="B3" s="18">
        <v>46101</v>
      </c>
      <c r="C3" s="21">
        <v>4.8836569225736093E-2</v>
      </c>
      <c r="D3" s="11" t="s">
        <v>238</v>
      </c>
      <c r="E3" s="11" t="str">
        <f ca="1">VLOOKUP(RANDBETWEEN(1,8),TipoAccidente!A:C,3,0)</f>
        <v>Volcamiento</v>
      </c>
      <c r="F3" s="11" t="str">
        <f ca="1">VLOOKUP(RANDBETWEEN(1,8),TipoAutomovilResponsable!A:C,3,0)</f>
        <v>Bus</v>
      </c>
      <c r="G3" s="9">
        <f t="shared" ref="G3:G66" ca="1" si="0">RANDBETWEEN(1,3)</f>
        <v>2</v>
      </c>
      <c r="H3" s="10">
        <v>3</v>
      </c>
      <c r="I3" s="26">
        <v>1</v>
      </c>
      <c r="J3" s="8" t="str">
        <f ca="1">VLOOKUP(RANDBETWEEN(1,6),TipoClima!A:C,3,0)</f>
        <v>Nublado</v>
      </c>
      <c r="M3" s="4"/>
    </row>
    <row r="4" spans="1:13" ht="15.75" thickBot="1" x14ac:dyDescent="0.3">
      <c r="A4" s="12" t="s">
        <v>14</v>
      </c>
      <c r="B4" s="17">
        <v>46036</v>
      </c>
      <c r="C4" s="20">
        <v>0.6490480251333054</v>
      </c>
      <c r="D4" s="15" t="s">
        <v>248</v>
      </c>
      <c r="E4" s="15" t="str">
        <f ca="1">VLOOKUP(RANDBETWEEN(1,8),TipoAccidente!A:C,3,0)</f>
        <v>Volcamiento</v>
      </c>
      <c r="F4" s="15" t="str">
        <f ca="1">VLOOKUP(RANDBETWEEN(1,8),TipoAutomovilResponsable!A:C,3,0)</f>
        <v>Motocicleta</v>
      </c>
      <c r="G4" s="13">
        <f t="shared" ca="1" si="0"/>
        <v>2</v>
      </c>
      <c r="H4" s="14">
        <v>2</v>
      </c>
      <c r="I4" s="25">
        <v>0</v>
      </c>
      <c r="J4" s="12" t="str">
        <f ca="1">VLOOKUP(RANDBETWEEN(1,6),TipoClima!A:C,3,0)</f>
        <v>Viento fuerte</v>
      </c>
      <c r="M4" s="4"/>
    </row>
    <row r="5" spans="1:13" ht="15.75" thickBot="1" x14ac:dyDescent="0.3">
      <c r="A5" s="8" t="s">
        <v>16</v>
      </c>
      <c r="B5" s="18">
        <v>46110</v>
      </c>
      <c r="C5" s="21">
        <v>0.75127801987578302</v>
      </c>
      <c r="D5" s="11" t="s">
        <v>251</v>
      </c>
      <c r="E5" s="11" t="str">
        <f ca="1">VLOOKUP(RANDBETWEEN(1,8),TipoAccidente!A:C,3,0)</f>
        <v>Salida de vía</v>
      </c>
      <c r="F5" s="11" t="str">
        <f ca="1">VLOOKUP(RANDBETWEEN(1,8),TipoAutomovilResponsable!A:C,3,0)</f>
        <v>Motocicleta</v>
      </c>
      <c r="G5" s="9">
        <f t="shared" ca="1" si="0"/>
        <v>3</v>
      </c>
      <c r="H5" s="10">
        <v>3</v>
      </c>
      <c r="I5" s="26">
        <v>0</v>
      </c>
      <c r="J5" s="8" t="str">
        <f ca="1">VLOOKUP(RANDBETWEEN(1,6),TipoClima!A:C,3,0)</f>
        <v>Viento fuerte</v>
      </c>
    </row>
    <row r="6" spans="1:13" ht="15.75" thickBot="1" x14ac:dyDescent="0.3">
      <c r="A6" s="12" t="s">
        <v>19</v>
      </c>
      <c r="B6" s="17">
        <v>46170</v>
      </c>
      <c r="C6" s="20">
        <v>7.79060039048588E-2</v>
      </c>
      <c r="D6" s="15" t="s">
        <v>56</v>
      </c>
      <c r="E6" s="15" t="str">
        <f ca="1">VLOOKUP(RANDBETWEEN(1,8),TipoAccidente!A:C,3,0)</f>
        <v>Volcamiento</v>
      </c>
      <c r="F6" s="15" t="str">
        <f ca="1">VLOOKUP(RANDBETWEEN(1,8),TipoAutomovilResponsable!A:C,3,0)</f>
        <v>Bus</v>
      </c>
      <c r="G6" s="13">
        <f t="shared" ca="1" si="0"/>
        <v>1</v>
      </c>
      <c r="H6" s="14">
        <v>2</v>
      </c>
      <c r="I6" s="25">
        <v>2</v>
      </c>
      <c r="J6" s="12" t="str">
        <f ca="1">VLOOKUP(RANDBETWEEN(1,6),TipoClima!A:C,3,0)</f>
        <v>Soleado</v>
      </c>
    </row>
    <row r="7" spans="1:13" ht="15.75" thickBot="1" x14ac:dyDescent="0.3">
      <c r="A7" s="8" t="s">
        <v>21</v>
      </c>
      <c r="B7" s="18">
        <v>46213</v>
      </c>
      <c r="C7" s="21">
        <v>0.88361344337022218</v>
      </c>
      <c r="D7" s="11" t="s">
        <v>36</v>
      </c>
      <c r="E7" s="11" t="str">
        <f ca="1">VLOOKUP(RANDBETWEEN(1,8),TipoAccidente!A:C,3,0)</f>
        <v>Volcamiento</v>
      </c>
      <c r="F7" s="11" t="str">
        <f ca="1">VLOOKUP(RANDBETWEEN(1,8),TipoAutomovilResponsable!A:C,3,0)</f>
        <v>Bus</v>
      </c>
      <c r="G7" s="9">
        <f t="shared" ca="1" si="0"/>
        <v>2</v>
      </c>
      <c r="H7" s="10">
        <v>1</v>
      </c>
      <c r="I7" s="26">
        <v>1</v>
      </c>
      <c r="J7" s="8" t="str">
        <f ca="1">VLOOKUP(RANDBETWEEN(1,6),TipoClima!A:C,3,0)</f>
        <v>Nublado</v>
      </c>
    </row>
    <row r="8" spans="1:13" ht="15.75" thickBot="1" x14ac:dyDescent="0.3">
      <c r="A8" s="12" t="s">
        <v>23</v>
      </c>
      <c r="B8" s="17">
        <v>46223</v>
      </c>
      <c r="C8" s="20">
        <v>0.96765811570108817</v>
      </c>
      <c r="D8" s="15" t="s">
        <v>241</v>
      </c>
      <c r="E8" s="15" t="e">
        <f ca="1">VLOOKUP(RANDBETWEEN(1,8),TipoAccidente!A:C,3,0)</f>
        <v>#N/A</v>
      </c>
      <c r="F8" s="15" t="str">
        <f ca="1">VLOOKUP(RANDBETWEEN(1,8),TipoAutomovilResponsable!A:C,3,0)</f>
        <v>Automóvil</v>
      </c>
      <c r="G8" s="13">
        <f t="shared" ca="1" si="0"/>
        <v>3</v>
      </c>
      <c r="H8" s="14">
        <v>2</v>
      </c>
      <c r="I8" s="25">
        <v>2</v>
      </c>
      <c r="J8" s="12" t="str">
        <f ca="1">VLOOKUP(RANDBETWEEN(1,6),TipoClima!A:C,3,0)</f>
        <v>Neblina</v>
      </c>
    </row>
    <row r="9" spans="1:13" ht="15.75" thickBot="1" x14ac:dyDescent="0.3">
      <c r="A9" s="8" t="s">
        <v>25</v>
      </c>
      <c r="B9" s="18">
        <v>46043</v>
      </c>
      <c r="C9" s="21">
        <v>0.89021898872459615</v>
      </c>
      <c r="D9" s="11" t="s">
        <v>68</v>
      </c>
      <c r="E9" s="11" t="e">
        <f ca="1">VLOOKUP(RANDBETWEEN(1,8),TipoAccidente!A:C,3,0)</f>
        <v>#N/A</v>
      </c>
      <c r="F9" s="11" t="str">
        <f ca="1">VLOOKUP(RANDBETWEEN(1,8),TipoAutomovilResponsable!A:C,3,0)</f>
        <v>Tractocamión</v>
      </c>
      <c r="G9" s="9">
        <f t="shared" ca="1" si="0"/>
        <v>2</v>
      </c>
      <c r="H9" s="10">
        <v>2</v>
      </c>
      <c r="I9" s="26">
        <v>1</v>
      </c>
      <c r="J9" s="8" t="str">
        <f ca="1">VLOOKUP(RANDBETWEEN(1,6),TipoClima!A:C,3,0)</f>
        <v>Nublado</v>
      </c>
    </row>
    <row r="10" spans="1:13" ht="15.75" thickBot="1" x14ac:dyDescent="0.3">
      <c r="A10" s="12" t="s">
        <v>27</v>
      </c>
      <c r="B10" s="17">
        <v>46062</v>
      </c>
      <c r="C10" s="20">
        <v>9.3149473577425423E-2</v>
      </c>
      <c r="D10" s="15" t="s">
        <v>281</v>
      </c>
      <c r="E10" s="15" t="e">
        <f ca="1">VLOOKUP(RANDBETWEEN(1,8),TipoAccidente!A:C,3,0)</f>
        <v>#N/A</v>
      </c>
      <c r="F10" s="15" t="str">
        <f ca="1">VLOOKUP(RANDBETWEEN(1,8),TipoAutomovilResponsable!A:C,3,0)</f>
        <v>Motocicleta</v>
      </c>
      <c r="G10" s="13">
        <f t="shared" ca="1" si="0"/>
        <v>3</v>
      </c>
      <c r="H10" s="14">
        <v>3</v>
      </c>
      <c r="I10" s="25">
        <v>2</v>
      </c>
      <c r="J10" s="12" t="str">
        <f ca="1">VLOOKUP(RANDBETWEEN(1,6),TipoClima!A:C,3,0)</f>
        <v>Nublado</v>
      </c>
    </row>
    <row r="11" spans="1:13" ht="15.75" thickBot="1" x14ac:dyDescent="0.3">
      <c r="A11" s="8" t="s">
        <v>29</v>
      </c>
      <c r="B11" s="18">
        <v>46191</v>
      </c>
      <c r="C11" s="21">
        <v>0.85630139818119211</v>
      </c>
      <c r="D11" s="11" t="s">
        <v>104</v>
      </c>
      <c r="E11" s="11" t="e">
        <f ca="1">VLOOKUP(RANDBETWEEN(1,8),TipoAccidente!A:C,3,0)</f>
        <v>#N/A</v>
      </c>
      <c r="F11" s="11" t="str">
        <f ca="1">VLOOKUP(RANDBETWEEN(1,8),TipoAutomovilResponsable!A:C,3,0)</f>
        <v>Camión</v>
      </c>
      <c r="G11" s="9">
        <f t="shared" ca="1" si="0"/>
        <v>1</v>
      </c>
      <c r="H11" s="10">
        <v>3</v>
      </c>
      <c r="I11" s="26">
        <v>2</v>
      </c>
      <c r="J11" s="8" t="str">
        <f ca="1">VLOOKUP(RANDBETWEEN(1,6),TipoClima!A:C,3,0)</f>
        <v>Nublado</v>
      </c>
    </row>
    <row r="12" spans="1:13" ht="15.75" thickBot="1" x14ac:dyDescent="0.3">
      <c r="A12" s="12" t="s">
        <v>31</v>
      </c>
      <c r="B12" s="17">
        <v>46042</v>
      </c>
      <c r="C12" s="20">
        <v>0.28853130696513918</v>
      </c>
      <c r="D12" s="15" t="s">
        <v>78</v>
      </c>
      <c r="E12" s="15" t="str">
        <f ca="1">VLOOKUP(RANDBETWEEN(1,8),TipoAccidente!A:C,3,0)</f>
        <v>Salida de vía</v>
      </c>
      <c r="F12" s="15" t="str">
        <f ca="1">VLOOKUP(RANDBETWEEN(1,8),TipoAutomovilResponsable!A:C,3,0)</f>
        <v>Camioneta</v>
      </c>
      <c r="G12" s="13">
        <f t="shared" ca="1" si="0"/>
        <v>1</v>
      </c>
      <c r="H12" s="14">
        <v>3</v>
      </c>
      <c r="I12" s="25">
        <v>0</v>
      </c>
      <c r="J12" s="12" t="str">
        <f ca="1">VLOOKUP(RANDBETWEEN(1,6),TipoClima!A:C,3,0)</f>
        <v>Soleado</v>
      </c>
    </row>
    <row r="13" spans="1:13" ht="15.75" thickBot="1" x14ac:dyDescent="0.3">
      <c r="A13" s="8" t="s">
        <v>33</v>
      </c>
      <c r="B13" s="18">
        <v>46076</v>
      </c>
      <c r="C13" s="21">
        <v>0.31944036994084524</v>
      </c>
      <c r="D13" s="11" t="s">
        <v>42</v>
      </c>
      <c r="E13" s="11" t="str">
        <f ca="1">VLOOKUP(RANDBETWEEN(1,8),TipoAccidente!A:C,3,0)</f>
        <v>Choque entre vehículos</v>
      </c>
      <c r="F13" s="11" t="str">
        <f ca="1">VLOOKUP(RANDBETWEEN(1,8),TipoAutomovilResponsable!A:C,3,0)</f>
        <v>Camioneta</v>
      </c>
      <c r="G13" s="9">
        <f t="shared" ca="1" si="0"/>
        <v>2</v>
      </c>
      <c r="H13" s="10">
        <v>4</v>
      </c>
      <c r="I13" s="26">
        <v>1</v>
      </c>
      <c r="J13" s="8" t="str">
        <f ca="1">VLOOKUP(RANDBETWEEN(1,6),TipoClima!A:C,3,0)</f>
        <v>Lluvia ligera</v>
      </c>
    </row>
    <row r="14" spans="1:13" ht="15.75" thickBot="1" x14ac:dyDescent="0.3">
      <c r="A14" s="12" t="s">
        <v>35</v>
      </c>
      <c r="B14" s="17">
        <v>46156</v>
      </c>
      <c r="C14" s="20">
        <v>0.10332154886475209</v>
      </c>
      <c r="D14" s="15" t="s">
        <v>106</v>
      </c>
      <c r="E14" s="15" t="str">
        <f ca="1">VLOOKUP(RANDBETWEEN(1,8),TipoAccidente!A:C,3,0)</f>
        <v>Salida de vía</v>
      </c>
      <c r="F14" s="15" t="str">
        <f ca="1">VLOOKUP(RANDBETWEEN(1,8),TipoAutomovilResponsable!A:C,3,0)</f>
        <v>Camión</v>
      </c>
      <c r="G14" s="13">
        <f t="shared" ca="1" si="0"/>
        <v>3</v>
      </c>
      <c r="H14" s="14">
        <v>1</v>
      </c>
      <c r="I14" s="25">
        <v>1</v>
      </c>
      <c r="J14" s="12" t="str">
        <f ca="1">VLOOKUP(RANDBETWEEN(1,6),TipoClima!A:C,3,0)</f>
        <v>Viento fuerte</v>
      </c>
    </row>
    <row r="15" spans="1:13" ht="15.75" thickBot="1" x14ac:dyDescent="0.3">
      <c r="A15" s="8" t="s">
        <v>37</v>
      </c>
      <c r="B15" s="18">
        <v>46046</v>
      </c>
      <c r="C15" s="21">
        <v>0.52689184631344199</v>
      </c>
      <c r="D15" s="11" t="s">
        <v>277</v>
      </c>
      <c r="E15" s="11" t="e">
        <f ca="1">VLOOKUP(RANDBETWEEN(1,8),TipoAccidente!A:C,3,0)</f>
        <v>#N/A</v>
      </c>
      <c r="F15" s="11" t="str">
        <f ca="1">VLOOKUP(RANDBETWEEN(1,8),TipoAutomovilResponsable!A:C,3,0)</f>
        <v>Camión</v>
      </c>
      <c r="G15" s="9">
        <f t="shared" ca="1" si="0"/>
        <v>2</v>
      </c>
      <c r="H15" s="10">
        <v>2</v>
      </c>
      <c r="I15" s="26">
        <v>1</v>
      </c>
      <c r="J15" s="8" t="str">
        <f ca="1">VLOOKUP(RANDBETWEEN(1,6),TipoClima!A:C,3,0)</f>
        <v>Neblina</v>
      </c>
    </row>
    <row r="16" spans="1:13" ht="15.75" thickBot="1" x14ac:dyDescent="0.3">
      <c r="A16" s="12" t="s">
        <v>39</v>
      </c>
      <c r="B16" s="17">
        <v>46192</v>
      </c>
      <c r="C16" s="20">
        <v>0.90027889480048606</v>
      </c>
      <c r="D16" s="15" t="s">
        <v>284</v>
      </c>
      <c r="E16" s="15" t="str">
        <f ca="1">VLOOKUP(RANDBETWEEN(1,8),TipoAccidente!A:C,3,0)</f>
        <v>Salida de vía</v>
      </c>
      <c r="F16" s="15" t="str">
        <f ca="1">VLOOKUP(RANDBETWEEN(1,8),TipoAutomovilResponsable!A:C,3,0)</f>
        <v>Taxi</v>
      </c>
      <c r="G16" s="13">
        <f t="shared" ca="1" si="0"/>
        <v>3</v>
      </c>
      <c r="H16" s="14">
        <v>1</v>
      </c>
      <c r="I16" s="25">
        <v>2</v>
      </c>
      <c r="J16" s="12" t="str">
        <f ca="1">VLOOKUP(RANDBETWEEN(1,6),TipoClima!A:C,3,0)</f>
        <v>Viento fuerte</v>
      </c>
    </row>
    <row r="17" spans="1:10" ht="15.75" thickBot="1" x14ac:dyDescent="0.3">
      <c r="A17" s="8" t="s">
        <v>41</v>
      </c>
      <c r="B17" s="18">
        <v>46037</v>
      </c>
      <c r="C17" s="21">
        <v>0.36410228387519328</v>
      </c>
      <c r="D17" s="11" t="s">
        <v>250</v>
      </c>
      <c r="E17" s="11" t="str">
        <f ca="1">VLOOKUP(RANDBETWEEN(1,8),TipoAccidente!A:C,3,0)</f>
        <v>Volcamiento</v>
      </c>
      <c r="F17" s="11" t="str">
        <f ca="1">VLOOKUP(RANDBETWEEN(1,8),TipoAutomovilResponsable!A:C,3,0)</f>
        <v>Bus</v>
      </c>
      <c r="G17" s="9">
        <f t="shared" ca="1" si="0"/>
        <v>3</v>
      </c>
      <c r="H17" s="10">
        <v>4</v>
      </c>
      <c r="I17" s="26">
        <v>1</v>
      </c>
      <c r="J17" s="8" t="str">
        <f ca="1">VLOOKUP(RANDBETWEEN(1,6),TipoClima!A:C,3,0)</f>
        <v>Lluvia intensa</v>
      </c>
    </row>
    <row r="18" spans="1:10" ht="15.75" thickBot="1" x14ac:dyDescent="0.3">
      <c r="A18" s="12" t="s">
        <v>43</v>
      </c>
      <c r="B18" s="17">
        <v>46203</v>
      </c>
      <c r="C18" s="20">
        <v>0.67206929381221558</v>
      </c>
      <c r="D18" s="15" t="s">
        <v>82</v>
      </c>
      <c r="E18" s="15" t="str">
        <f ca="1">VLOOKUP(RANDBETWEEN(1,8),TipoAccidente!A:C,3,0)</f>
        <v>Atropello</v>
      </c>
      <c r="F18" s="15" t="str">
        <f ca="1">VLOOKUP(RANDBETWEEN(1,8),TipoAutomovilResponsable!A:C,3,0)</f>
        <v>Tractocamión</v>
      </c>
      <c r="G18" s="13">
        <f t="shared" ca="1" si="0"/>
        <v>1</v>
      </c>
      <c r="H18" s="14">
        <v>1</v>
      </c>
      <c r="I18" s="25">
        <v>1</v>
      </c>
      <c r="J18" s="12" t="str">
        <f ca="1">VLOOKUP(RANDBETWEEN(1,6),TipoClima!A:C,3,0)</f>
        <v>Viento fuerte</v>
      </c>
    </row>
    <row r="19" spans="1:10" ht="15.75" thickBot="1" x14ac:dyDescent="0.3">
      <c r="A19" s="8" t="s">
        <v>45</v>
      </c>
      <c r="B19" s="18">
        <v>46224</v>
      </c>
      <c r="C19" s="21">
        <v>0.32304830270041252</v>
      </c>
      <c r="D19" s="11" t="s">
        <v>30</v>
      </c>
      <c r="E19" s="11" t="str">
        <f ca="1">VLOOKUP(RANDBETWEEN(1,8),TipoAccidente!A:C,3,0)</f>
        <v>Atropello</v>
      </c>
      <c r="F19" s="11" t="str">
        <f ca="1">VLOOKUP(RANDBETWEEN(1,8),TipoAutomovilResponsable!A:C,3,0)</f>
        <v>Motocicleta</v>
      </c>
      <c r="G19" s="9">
        <f t="shared" ca="1" si="0"/>
        <v>1</v>
      </c>
      <c r="H19" s="10">
        <v>1</v>
      </c>
      <c r="I19" s="26">
        <v>2</v>
      </c>
      <c r="J19" s="8" t="str">
        <f ca="1">VLOOKUP(RANDBETWEEN(1,6),TipoClima!A:C,3,0)</f>
        <v>Nublado</v>
      </c>
    </row>
    <row r="20" spans="1:10" ht="15.75" thickBot="1" x14ac:dyDescent="0.3">
      <c r="A20" s="12" t="s">
        <v>47</v>
      </c>
      <c r="B20" s="17">
        <v>46044</v>
      </c>
      <c r="C20" s="20">
        <v>9.367537627751843E-2</v>
      </c>
      <c r="D20" s="15" t="s">
        <v>96</v>
      </c>
      <c r="E20" s="15" t="e">
        <f ca="1">VLOOKUP(RANDBETWEEN(1,8),TipoAccidente!A:C,3,0)</f>
        <v>#N/A</v>
      </c>
      <c r="F20" s="15" t="str">
        <f ca="1">VLOOKUP(RANDBETWEEN(1,8),TipoAutomovilResponsable!A:C,3,0)</f>
        <v>Camión</v>
      </c>
      <c r="G20" s="13">
        <f t="shared" ca="1" si="0"/>
        <v>2</v>
      </c>
      <c r="H20" s="14">
        <v>1</v>
      </c>
      <c r="I20" s="25">
        <v>0</v>
      </c>
      <c r="J20" s="12" t="str">
        <f ca="1">VLOOKUP(RANDBETWEEN(1,6),TipoClima!A:C,3,0)</f>
        <v>Neblina</v>
      </c>
    </row>
    <row r="21" spans="1:10" ht="15.75" thickBot="1" x14ac:dyDescent="0.3">
      <c r="A21" s="8" t="s">
        <v>49</v>
      </c>
      <c r="B21" s="18">
        <v>46127</v>
      </c>
      <c r="C21" s="21">
        <v>0.43323670988775087</v>
      </c>
      <c r="D21" s="11" t="s">
        <v>66</v>
      </c>
      <c r="E21" s="11" t="e">
        <f ca="1">VLOOKUP(RANDBETWEEN(1,8),TipoAccidente!A:C,3,0)</f>
        <v>#N/A</v>
      </c>
      <c r="F21" s="11" t="str">
        <f ca="1">VLOOKUP(RANDBETWEEN(1,8),TipoAutomovilResponsable!A:C,3,0)</f>
        <v>Automóvil</v>
      </c>
      <c r="G21" s="9">
        <f t="shared" ca="1" si="0"/>
        <v>1</v>
      </c>
      <c r="H21" s="10">
        <v>3</v>
      </c>
      <c r="I21" s="26">
        <v>2</v>
      </c>
      <c r="J21" s="8" t="str">
        <f ca="1">VLOOKUP(RANDBETWEEN(1,6),TipoClima!A:C,3,0)</f>
        <v>Lluvia ligera</v>
      </c>
    </row>
    <row r="22" spans="1:10" ht="15.75" thickBot="1" x14ac:dyDescent="0.3">
      <c r="A22" s="12" t="s">
        <v>51</v>
      </c>
      <c r="B22" s="17">
        <v>46216</v>
      </c>
      <c r="C22" s="20">
        <v>0.12774996672915495</v>
      </c>
      <c r="D22" s="15" t="s">
        <v>245</v>
      </c>
      <c r="E22" s="15" t="str">
        <f ca="1">VLOOKUP(RANDBETWEEN(1,8),TipoAccidente!A:C,3,0)</f>
        <v>Volcamiento</v>
      </c>
      <c r="F22" s="15" t="str">
        <f ca="1">VLOOKUP(RANDBETWEEN(1,8),TipoAutomovilResponsable!A:C,3,0)</f>
        <v>Camioneta</v>
      </c>
      <c r="G22" s="13">
        <f t="shared" ca="1" si="0"/>
        <v>1</v>
      </c>
      <c r="H22" s="14">
        <v>4</v>
      </c>
      <c r="I22" s="25">
        <v>1</v>
      </c>
      <c r="J22" s="12" t="str">
        <f ca="1">VLOOKUP(RANDBETWEEN(1,6),TipoClima!A:C,3,0)</f>
        <v>Lluvia ligera</v>
      </c>
    </row>
    <row r="23" spans="1:10" ht="15.75" thickBot="1" x14ac:dyDescent="0.3">
      <c r="A23" s="8" t="s">
        <v>53</v>
      </c>
      <c r="B23" s="18">
        <v>46134</v>
      </c>
      <c r="C23" s="21">
        <v>0.57368358400097463</v>
      </c>
      <c r="D23" s="11" t="s">
        <v>260</v>
      </c>
      <c r="E23" s="11" t="str">
        <f ca="1">VLOOKUP(RANDBETWEEN(1,8),TipoAccidente!A:C,3,0)</f>
        <v>Salida de vía</v>
      </c>
      <c r="F23" s="11" t="str">
        <f ca="1">VLOOKUP(RANDBETWEEN(1,8),TipoAutomovilResponsable!A:C,3,0)</f>
        <v>Camión</v>
      </c>
      <c r="G23" s="9">
        <f t="shared" ca="1" si="0"/>
        <v>1</v>
      </c>
      <c r="H23" s="10">
        <v>2</v>
      </c>
      <c r="I23" s="26">
        <v>1</v>
      </c>
      <c r="J23" s="8" t="str">
        <f ca="1">VLOOKUP(RANDBETWEEN(1,6),TipoClima!A:C,3,0)</f>
        <v>Lluvia ligera</v>
      </c>
    </row>
    <row r="24" spans="1:10" ht="15.75" thickBot="1" x14ac:dyDescent="0.3">
      <c r="A24" s="12" t="s">
        <v>55</v>
      </c>
      <c r="B24" s="17">
        <v>46148</v>
      </c>
      <c r="C24" s="20">
        <v>0.74117214155644906</v>
      </c>
      <c r="D24" s="15" t="s">
        <v>98</v>
      </c>
      <c r="E24" s="15" t="e">
        <f ca="1">VLOOKUP(RANDBETWEEN(1,8),TipoAccidente!A:C,3,0)</f>
        <v>#N/A</v>
      </c>
      <c r="F24" s="15" t="str">
        <f ca="1">VLOOKUP(RANDBETWEEN(1,8),TipoAutomovilResponsable!A:C,3,0)</f>
        <v>Camión</v>
      </c>
      <c r="G24" s="13">
        <f t="shared" ca="1" si="0"/>
        <v>3</v>
      </c>
      <c r="H24" s="14">
        <v>2</v>
      </c>
      <c r="I24" s="25">
        <v>0</v>
      </c>
      <c r="J24" s="12" t="str">
        <f ca="1">VLOOKUP(RANDBETWEEN(1,6),TipoClima!A:C,3,0)</f>
        <v>Soleado</v>
      </c>
    </row>
    <row r="25" spans="1:10" ht="15.75" thickBot="1" x14ac:dyDescent="0.3">
      <c r="A25" s="8" t="s">
        <v>57</v>
      </c>
      <c r="B25" s="18">
        <v>46038</v>
      </c>
      <c r="C25" s="21">
        <v>3.8507160520466988E-2</v>
      </c>
      <c r="D25" s="11" t="s">
        <v>34</v>
      </c>
      <c r="E25" s="11" t="str">
        <f ca="1">VLOOKUP(RANDBETWEEN(1,8),TipoAccidente!A:C,3,0)</f>
        <v>Atropello</v>
      </c>
      <c r="F25" s="11" t="str">
        <f ca="1">VLOOKUP(RANDBETWEEN(1,8),TipoAutomovilResponsable!A:C,3,0)</f>
        <v>Bus</v>
      </c>
      <c r="G25" s="9">
        <f t="shared" ca="1" si="0"/>
        <v>3</v>
      </c>
      <c r="H25" s="10">
        <v>1</v>
      </c>
      <c r="I25" s="26">
        <v>0</v>
      </c>
      <c r="J25" s="8" t="str">
        <f ca="1">VLOOKUP(RANDBETWEEN(1,6),TipoClima!A:C,3,0)</f>
        <v>Viento fuerte</v>
      </c>
    </row>
    <row r="26" spans="1:10" ht="15.75" thickBot="1" x14ac:dyDescent="0.3">
      <c r="A26" s="12" t="s">
        <v>59</v>
      </c>
      <c r="B26" s="17">
        <v>46165</v>
      </c>
      <c r="C26" s="20">
        <v>0.17096731159294265</v>
      </c>
      <c r="D26" s="15" t="s">
        <v>28</v>
      </c>
      <c r="E26" s="15" t="str">
        <f ca="1">VLOOKUP(RANDBETWEEN(1,8),TipoAccidente!A:C,3,0)</f>
        <v>Colisión con objeto fijo</v>
      </c>
      <c r="F26" s="15" t="str">
        <f ca="1">VLOOKUP(RANDBETWEEN(1,8),TipoAutomovilResponsable!A:C,3,0)</f>
        <v>Bicicleta</v>
      </c>
      <c r="G26" s="13">
        <f t="shared" ca="1" si="0"/>
        <v>3</v>
      </c>
      <c r="H26" s="14">
        <v>1</v>
      </c>
      <c r="I26" s="25">
        <v>1</v>
      </c>
      <c r="J26" s="12" t="str">
        <f ca="1">VLOOKUP(RANDBETWEEN(1,6),TipoClima!A:C,3,0)</f>
        <v>Nublado</v>
      </c>
    </row>
    <row r="27" spans="1:10" ht="15.75" thickBot="1" x14ac:dyDescent="0.3">
      <c r="A27" s="8" t="s">
        <v>61</v>
      </c>
      <c r="B27" s="18">
        <v>46164</v>
      </c>
      <c r="C27" s="21">
        <v>0.68431348990278795</v>
      </c>
      <c r="D27" s="11" t="s">
        <v>278</v>
      </c>
      <c r="E27" s="11" t="str">
        <f ca="1">VLOOKUP(RANDBETWEEN(1,8),TipoAccidente!A:C,3,0)</f>
        <v>Volcamiento</v>
      </c>
      <c r="F27" s="11" t="str">
        <f ca="1">VLOOKUP(RANDBETWEEN(1,8),TipoAutomovilResponsable!A:C,3,0)</f>
        <v>Bus</v>
      </c>
      <c r="G27" s="9">
        <f t="shared" ca="1" si="0"/>
        <v>2</v>
      </c>
      <c r="H27" s="10">
        <v>3</v>
      </c>
      <c r="I27" s="26">
        <v>2</v>
      </c>
      <c r="J27" s="8" t="str">
        <f ca="1">VLOOKUP(RANDBETWEEN(1,6),TipoClima!A:C,3,0)</f>
        <v>Lluvia ligera</v>
      </c>
    </row>
    <row r="28" spans="1:10" ht="15.75" thickBot="1" x14ac:dyDescent="0.3">
      <c r="A28" s="12" t="s">
        <v>63</v>
      </c>
      <c r="B28" s="17">
        <v>46032</v>
      </c>
      <c r="C28" s="20">
        <v>0.30359157579235951</v>
      </c>
      <c r="D28" s="15" t="s">
        <v>84</v>
      </c>
      <c r="E28" s="15" t="str">
        <f ca="1">VLOOKUP(RANDBETWEEN(1,8),TipoAccidente!A:C,3,0)</f>
        <v>Choque entre vehículos</v>
      </c>
      <c r="F28" s="15" t="str">
        <f ca="1">VLOOKUP(RANDBETWEEN(1,8),TipoAutomovilResponsable!A:C,3,0)</f>
        <v>Bicicleta</v>
      </c>
      <c r="G28" s="13">
        <f t="shared" ca="1" si="0"/>
        <v>2</v>
      </c>
      <c r="H28" s="14">
        <v>5</v>
      </c>
      <c r="I28" s="25">
        <v>1</v>
      </c>
      <c r="J28" s="12" t="str">
        <f ca="1">VLOOKUP(RANDBETWEEN(1,6),TipoClima!A:C,3,0)</f>
        <v>Soleado</v>
      </c>
    </row>
    <row r="29" spans="1:10" ht="15.75" thickBot="1" x14ac:dyDescent="0.3">
      <c r="A29" s="8" t="s">
        <v>65</v>
      </c>
      <c r="B29" s="18">
        <v>46027</v>
      </c>
      <c r="C29" s="21">
        <v>0.19369306083077031</v>
      </c>
      <c r="D29" s="11" t="s">
        <v>275</v>
      </c>
      <c r="E29" s="11" t="str">
        <f ca="1">VLOOKUP(RANDBETWEEN(1,8),TipoAccidente!A:C,3,0)</f>
        <v>Atropello</v>
      </c>
      <c r="F29" s="11" t="str">
        <f ca="1">VLOOKUP(RANDBETWEEN(1,8),TipoAutomovilResponsable!A:C,3,0)</f>
        <v>Camión</v>
      </c>
      <c r="G29" s="9">
        <f t="shared" ca="1" si="0"/>
        <v>1</v>
      </c>
      <c r="H29" s="10">
        <v>5</v>
      </c>
      <c r="I29" s="26">
        <v>2</v>
      </c>
      <c r="J29" s="8" t="str">
        <f ca="1">VLOOKUP(RANDBETWEEN(1,6),TipoClima!A:C,3,0)</f>
        <v>Lluvia ligera</v>
      </c>
    </row>
    <row r="30" spans="1:10" ht="15.75" thickBot="1" x14ac:dyDescent="0.3">
      <c r="A30" s="12" t="s">
        <v>67</v>
      </c>
      <c r="B30" s="17">
        <v>46053</v>
      </c>
      <c r="C30" s="20">
        <v>0.71467628726525434</v>
      </c>
      <c r="D30" s="15" t="s">
        <v>253</v>
      </c>
      <c r="E30" s="15" t="str">
        <f ca="1">VLOOKUP(RANDBETWEEN(1,8),TipoAccidente!A:C,3,0)</f>
        <v>Volcamiento</v>
      </c>
      <c r="F30" s="15" t="str">
        <f ca="1">VLOOKUP(RANDBETWEEN(1,8),TipoAutomovilResponsable!A:C,3,0)</f>
        <v>Camión</v>
      </c>
      <c r="G30" s="13">
        <f t="shared" ca="1" si="0"/>
        <v>2</v>
      </c>
      <c r="H30" s="14">
        <v>5</v>
      </c>
      <c r="I30" s="25">
        <v>1</v>
      </c>
      <c r="J30" s="12" t="str">
        <f ca="1">VLOOKUP(RANDBETWEEN(1,6),TipoClima!A:C,3,0)</f>
        <v>Lluvia ligera</v>
      </c>
    </row>
    <row r="31" spans="1:10" ht="15.75" thickBot="1" x14ac:dyDescent="0.3">
      <c r="A31" s="8" t="s">
        <v>69</v>
      </c>
      <c r="B31" s="18">
        <v>46073</v>
      </c>
      <c r="C31" s="21">
        <v>0.81150940496573098</v>
      </c>
      <c r="D31" s="11" t="s">
        <v>15</v>
      </c>
      <c r="E31" s="11" t="str">
        <f ca="1">VLOOKUP(RANDBETWEEN(1,8),TipoAccidente!A:C,3,0)</f>
        <v>Salida de vía</v>
      </c>
      <c r="F31" s="11" t="str">
        <f ca="1">VLOOKUP(RANDBETWEEN(1,8),TipoAutomovilResponsable!A:C,3,0)</f>
        <v>Camioneta</v>
      </c>
      <c r="G31" s="9">
        <f t="shared" ca="1" si="0"/>
        <v>1</v>
      </c>
      <c r="H31" s="10">
        <v>1</v>
      </c>
      <c r="I31" s="26">
        <v>1</v>
      </c>
      <c r="J31" s="8" t="str">
        <f ca="1">VLOOKUP(RANDBETWEEN(1,6),TipoClima!A:C,3,0)</f>
        <v>Neblina</v>
      </c>
    </row>
    <row r="32" spans="1:10" ht="15.75" thickBot="1" x14ac:dyDescent="0.3">
      <c r="A32" s="12" t="s">
        <v>71</v>
      </c>
      <c r="B32" s="17">
        <v>46064</v>
      </c>
      <c r="C32" s="20">
        <v>0.84215927623260112</v>
      </c>
      <c r="D32" s="15" t="s">
        <v>42</v>
      </c>
      <c r="E32" s="15" t="str">
        <f ca="1">VLOOKUP(RANDBETWEEN(1,8),TipoAccidente!A:C,3,0)</f>
        <v>Volcamiento</v>
      </c>
      <c r="F32" s="15" t="str">
        <f ca="1">VLOOKUP(RANDBETWEEN(1,8),TipoAutomovilResponsable!A:C,3,0)</f>
        <v>Bus</v>
      </c>
      <c r="G32" s="13">
        <f t="shared" ca="1" si="0"/>
        <v>3</v>
      </c>
      <c r="H32" s="14">
        <v>2</v>
      </c>
      <c r="I32" s="25">
        <v>1</v>
      </c>
      <c r="J32" s="12" t="str">
        <f ca="1">VLOOKUP(RANDBETWEEN(1,6),TipoClima!A:C,3,0)</f>
        <v>Lluvia intensa</v>
      </c>
    </row>
    <row r="33" spans="1:10" ht="15.75" thickBot="1" x14ac:dyDescent="0.3">
      <c r="A33" s="8" t="s">
        <v>73</v>
      </c>
      <c r="B33" s="18">
        <v>46051</v>
      </c>
      <c r="C33" s="21">
        <v>0.5242872056996698</v>
      </c>
      <c r="D33" s="11" t="s">
        <v>260</v>
      </c>
      <c r="E33" s="11" t="str">
        <f ca="1">VLOOKUP(RANDBETWEEN(1,8),TipoAccidente!A:C,3,0)</f>
        <v>Colisión con objeto fijo</v>
      </c>
      <c r="F33" s="11" t="str">
        <f ca="1">VLOOKUP(RANDBETWEEN(1,8),TipoAutomovilResponsable!A:C,3,0)</f>
        <v>Automóvil</v>
      </c>
      <c r="G33" s="9">
        <f t="shared" ca="1" si="0"/>
        <v>1</v>
      </c>
      <c r="H33" s="10">
        <v>5</v>
      </c>
      <c r="I33" s="26">
        <v>2</v>
      </c>
      <c r="J33" s="8" t="str">
        <f ca="1">VLOOKUP(RANDBETWEEN(1,6),TipoClima!A:C,3,0)</f>
        <v>Viento fuerte</v>
      </c>
    </row>
    <row r="34" spans="1:10" ht="15.75" thickBot="1" x14ac:dyDescent="0.3">
      <c r="A34" s="12" t="s">
        <v>75</v>
      </c>
      <c r="B34" s="17">
        <v>46191</v>
      </c>
      <c r="C34" s="20">
        <v>0.24264030971827488</v>
      </c>
      <c r="D34" s="15" t="s">
        <v>26</v>
      </c>
      <c r="E34" s="15" t="e">
        <f ca="1">VLOOKUP(RANDBETWEEN(1,8),TipoAccidente!A:C,3,0)</f>
        <v>#N/A</v>
      </c>
      <c r="F34" s="15" t="str">
        <f ca="1">VLOOKUP(RANDBETWEEN(1,8),TipoAutomovilResponsable!A:C,3,0)</f>
        <v>Motocicleta</v>
      </c>
      <c r="G34" s="13">
        <f t="shared" ca="1" si="0"/>
        <v>3</v>
      </c>
      <c r="H34" s="14">
        <v>3</v>
      </c>
      <c r="I34" s="25">
        <v>2</v>
      </c>
      <c r="J34" s="12" t="str">
        <f ca="1">VLOOKUP(RANDBETWEEN(1,6),TipoClima!A:C,3,0)</f>
        <v>Viento fuerte</v>
      </c>
    </row>
    <row r="35" spans="1:10" ht="15.75" thickBot="1" x14ac:dyDescent="0.3">
      <c r="A35" s="8" t="s">
        <v>77</v>
      </c>
      <c r="B35" s="18">
        <v>46077</v>
      </c>
      <c r="C35" s="21">
        <v>0.22874436795302977</v>
      </c>
      <c r="D35" s="11" t="s">
        <v>62</v>
      </c>
      <c r="E35" s="11" t="e">
        <f ca="1">VLOOKUP(RANDBETWEEN(1,8),TipoAccidente!A:C,3,0)</f>
        <v>#N/A</v>
      </c>
      <c r="F35" s="11" t="str">
        <f ca="1">VLOOKUP(RANDBETWEEN(1,8),TipoAutomovilResponsable!A:C,3,0)</f>
        <v>Bicicleta</v>
      </c>
      <c r="G35" s="9">
        <f t="shared" ca="1" si="0"/>
        <v>2</v>
      </c>
      <c r="H35" s="10">
        <v>4</v>
      </c>
      <c r="I35" s="26">
        <v>2</v>
      </c>
      <c r="J35" s="8" t="str">
        <f ca="1">VLOOKUP(RANDBETWEEN(1,6),TipoClima!A:C,3,0)</f>
        <v>Soleado</v>
      </c>
    </row>
    <row r="36" spans="1:10" ht="15.75" thickBot="1" x14ac:dyDescent="0.3">
      <c r="A36" s="12" t="s">
        <v>79</v>
      </c>
      <c r="B36" s="17">
        <v>46121</v>
      </c>
      <c r="C36" s="20">
        <v>7.4830514653049574E-2</v>
      </c>
      <c r="D36" s="15" t="s">
        <v>251</v>
      </c>
      <c r="E36" s="15" t="str">
        <f ca="1">VLOOKUP(RANDBETWEEN(1,8),TipoAccidente!A:C,3,0)</f>
        <v>Colisión con objeto fijo</v>
      </c>
      <c r="F36" s="15" t="str">
        <f ca="1">VLOOKUP(RANDBETWEEN(1,8),TipoAutomovilResponsable!A:C,3,0)</f>
        <v>Camión</v>
      </c>
      <c r="G36" s="13">
        <f t="shared" ca="1" si="0"/>
        <v>2</v>
      </c>
      <c r="H36" s="14">
        <v>1</v>
      </c>
      <c r="I36" s="25">
        <v>0</v>
      </c>
      <c r="J36" s="12" t="str">
        <f ca="1">VLOOKUP(RANDBETWEEN(1,6),TipoClima!A:C,3,0)</f>
        <v>Soleado</v>
      </c>
    </row>
    <row r="37" spans="1:10" ht="15.75" thickBot="1" x14ac:dyDescent="0.3">
      <c r="A37" s="8" t="s">
        <v>81</v>
      </c>
      <c r="B37" s="18">
        <v>46173</v>
      </c>
      <c r="C37" s="21">
        <v>0.88654896316400544</v>
      </c>
      <c r="D37" s="11" t="s">
        <v>74</v>
      </c>
      <c r="E37" s="11" t="e">
        <f ca="1">VLOOKUP(RANDBETWEEN(1,8),TipoAccidente!A:C,3,0)</f>
        <v>#N/A</v>
      </c>
      <c r="F37" s="11" t="str">
        <f ca="1">VLOOKUP(RANDBETWEEN(1,8),TipoAutomovilResponsable!A:C,3,0)</f>
        <v>Automóvil</v>
      </c>
      <c r="G37" s="9">
        <f t="shared" ca="1" si="0"/>
        <v>2</v>
      </c>
      <c r="H37" s="10">
        <v>4</v>
      </c>
      <c r="I37" s="26">
        <v>1</v>
      </c>
      <c r="J37" s="8" t="str">
        <f ca="1">VLOOKUP(RANDBETWEEN(1,6),TipoClima!A:C,3,0)</f>
        <v>Lluvia intensa</v>
      </c>
    </row>
    <row r="38" spans="1:10" ht="15.75" thickBot="1" x14ac:dyDescent="0.3">
      <c r="A38" s="12" t="s">
        <v>83</v>
      </c>
      <c r="B38" s="17">
        <v>46110</v>
      </c>
      <c r="C38" s="20">
        <v>0.84119421238146386</v>
      </c>
      <c r="D38" s="15" t="s">
        <v>265</v>
      </c>
      <c r="E38" s="15" t="str">
        <f ca="1">VLOOKUP(RANDBETWEEN(1,8),TipoAccidente!A:C,3,0)</f>
        <v>Volcamiento</v>
      </c>
      <c r="F38" s="15" t="str">
        <f ca="1">VLOOKUP(RANDBETWEEN(1,8),TipoAutomovilResponsable!A:C,3,0)</f>
        <v>Motocicleta</v>
      </c>
      <c r="G38" s="13">
        <f t="shared" ca="1" si="0"/>
        <v>3</v>
      </c>
      <c r="H38" s="14">
        <v>5</v>
      </c>
      <c r="I38" s="25">
        <v>1</v>
      </c>
      <c r="J38" s="12" t="str">
        <f ca="1">VLOOKUP(RANDBETWEEN(1,6),TipoClima!A:C,3,0)</f>
        <v>Lluvia ligera</v>
      </c>
    </row>
    <row r="39" spans="1:10" ht="15.75" thickBot="1" x14ac:dyDescent="0.3">
      <c r="A39" s="8" t="s">
        <v>85</v>
      </c>
      <c r="B39" s="18">
        <v>46038</v>
      </c>
      <c r="C39" s="21">
        <v>0.92522568920223025</v>
      </c>
      <c r="D39" s="11" t="s">
        <v>261</v>
      </c>
      <c r="E39" s="11" t="e">
        <f ca="1">VLOOKUP(RANDBETWEEN(1,8),TipoAccidente!A:C,3,0)</f>
        <v>#N/A</v>
      </c>
      <c r="F39" s="11" t="str">
        <f ca="1">VLOOKUP(RANDBETWEEN(1,8),TipoAutomovilResponsable!A:C,3,0)</f>
        <v>Camioneta</v>
      </c>
      <c r="G39" s="9">
        <f t="shared" ca="1" si="0"/>
        <v>3</v>
      </c>
      <c r="H39" s="10">
        <v>3</v>
      </c>
      <c r="I39" s="26">
        <v>2</v>
      </c>
      <c r="J39" s="8" t="str">
        <f ca="1">VLOOKUP(RANDBETWEEN(1,6),TipoClima!A:C,3,0)</f>
        <v>Viento fuerte</v>
      </c>
    </row>
    <row r="40" spans="1:10" ht="15.75" thickBot="1" x14ac:dyDescent="0.3">
      <c r="A40" s="12" t="s">
        <v>87</v>
      </c>
      <c r="B40" s="17">
        <v>46055</v>
      </c>
      <c r="C40" s="20">
        <v>0.31451437568157836</v>
      </c>
      <c r="D40" s="15" t="s">
        <v>78</v>
      </c>
      <c r="E40" s="15" t="e">
        <f ca="1">VLOOKUP(RANDBETWEEN(1,8),TipoAccidente!A:C,3,0)</f>
        <v>#N/A</v>
      </c>
      <c r="F40" s="15" t="str">
        <f ca="1">VLOOKUP(RANDBETWEEN(1,8),TipoAutomovilResponsable!A:C,3,0)</f>
        <v>Taxi</v>
      </c>
      <c r="G40" s="13">
        <f t="shared" ca="1" si="0"/>
        <v>1</v>
      </c>
      <c r="H40" s="14">
        <v>4</v>
      </c>
      <c r="I40" s="25">
        <v>0</v>
      </c>
      <c r="J40" s="12" t="str">
        <f ca="1">VLOOKUP(RANDBETWEEN(1,6),TipoClima!A:C,3,0)</f>
        <v>Lluvia ligera</v>
      </c>
    </row>
    <row r="41" spans="1:10" ht="15.75" thickBot="1" x14ac:dyDescent="0.3">
      <c r="A41" s="8" t="s">
        <v>89</v>
      </c>
      <c r="B41" s="18">
        <v>46110</v>
      </c>
      <c r="C41" s="21">
        <v>0.71451651014228112</v>
      </c>
      <c r="D41" s="11" t="s">
        <v>86</v>
      </c>
      <c r="E41" s="11" t="str">
        <f ca="1">VLOOKUP(RANDBETWEEN(1,8),TipoAccidente!A:C,3,0)</f>
        <v>Volcamiento</v>
      </c>
      <c r="F41" s="11" t="str">
        <f ca="1">VLOOKUP(RANDBETWEEN(1,8),TipoAutomovilResponsable!A:C,3,0)</f>
        <v>Bus</v>
      </c>
      <c r="G41" s="9">
        <f t="shared" ca="1" si="0"/>
        <v>3</v>
      </c>
      <c r="H41" s="10">
        <v>2</v>
      </c>
      <c r="I41" s="26">
        <v>2</v>
      </c>
      <c r="J41" s="8" t="str">
        <f ca="1">VLOOKUP(RANDBETWEEN(1,6),TipoClima!A:C,3,0)</f>
        <v>Soleado</v>
      </c>
    </row>
    <row r="42" spans="1:10" ht="15.75" thickBot="1" x14ac:dyDescent="0.3">
      <c r="A42" s="12" t="s">
        <v>91</v>
      </c>
      <c r="B42" s="17">
        <v>46172</v>
      </c>
      <c r="C42" s="20">
        <v>0.33739700107484105</v>
      </c>
      <c r="D42" s="15" t="s">
        <v>36</v>
      </c>
      <c r="E42" s="15" t="str">
        <f ca="1">VLOOKUP(RANDBETWEEN(1,8),TipoAccidente!A:C,3,0)</f>
        <v>Volcamiento</v>
      </c>
      <c r="F42" s="15" t="str">
        <f ca="1">VLOOKUP(RANDBETWEEN(1,8),TipoAutomovilResponsable!A:C,3,0)</f>
        <v>Camión</v>
      </c>
      <c r="G42" s="13">
        <f t="shared" ca="1" si="0"/>
        <v>2</v>
      </c>
      <c r="H42" s="14">
        <v>5</v>
      </c>
      <c r="I42" s="25">
        <v>0</v>
      </c>
      <c r="J42" s="12" t="str">
        <f ca="1">VLOOKUP(RANDBETWEEN(1,6),TipoClima!A:C,3,0)</f>
        <v>Nublado</v>
      </c>
    </row>
    <row r="43" spans="1:10" ht="15.75" thickBot="1" x14ac:dyDescent="0.3">
      <c r="A43" s="8" t="s">
        <v>93</v>
      </c>
      <c r="B43" s="18">
        <v>46076</v>
      </c>
      <c r="C43" s="21">
        <v>0.20398144737661206</v>
      </c>
      <c r="D43" s="11" t="s">
        <v>242</v>
      </c>
      <c r="E43" s="11" t="e">
        <f ca="1">VLOOKUP(RANDBETWEEN(1,8),TipoAccidente!A:C,3,0)</f>
        <v>#N/A</v>
      </c>
      <c r="F43" s="11" t="str">
        <f ca="1">VLOOKUP(RANDBETWEEN(1,8),TipoAutomovilResponsable!A:C,3,0)</f>
        <v>Bicicleta</v>
      </c>
      <c r="G43" s="9">
        <f t="shared" ca="1" si="0"/>
        <v>2</v>
      </c>
      <c r="H43" s="10">
        <v>5</v>
      </c>
      <c r="I43" s="26">
        <v>0</v>
      </c>
      <c r="J43" s="8" t="str">
        <f ca="1">VLOOKUP(RANDBETWEEN(1,6),TipoClima!A:C,3,0)</f>
        <v>Neblina</v>
      </c>
    </row>
    <row r="44" spans="1:10" ht="15.75" thickBot="1" x14ac:dyDescent="0.3">
      <c r="A44" s="12" t="s">
        <v>95</v>
      </c>
      <c r="B44" s="17">
        <v>46172</v>
      </c>
      <c r="C44" s="20">
        <v>0.4043456001243223</v>
      </c>
      <c r="D44" s="15" t="s">
        <v>245</v>
      </c>
      <c r="E44" s="15" t="e">
        <f ca="1">VLOOKUP(RANDBETWEEN(1,8),TipoAccidente!A:C,3,0)</f>
        <v>#N/A</v>
      </c>
      <c r="F44" s="15" t="str">
        <f ca="1">VLOOKUP(RANDBETWEEN(1,8),TipoAutomovilResponsable!A:C,3,0)</f>
        <v>Bus</v>
      </c>
      <c r="G44" s="13">
        <f t="shared" ca="1" si="0"/>
        <v>1</v>
      </c>
      <c r="H44" s="14">
        <v>5</v>
      </c>
      <c r="I44" s="25">
        <v>2</v>
      </c>
      <c r="J44" s="12" t="str">
        <f ca="1">VLOOKUP(RANDBETWEEN(1,6),TipoClima!A:C,3,0)</f>
        <v>Lluvia intensa</v>
      </c>
    </row>
    <row r="45" spans="1:10" ht="15.75" thickBot="1" x14ac:dyDescent="0.3">
      <c r="A45" s="8" t="s">
        <v>97</v>
      </c>
      <c r="B45" s="18">
        <v>46121</v>
      </c>
      <c r="C45" s="21">
        <v>0.85205440740250682</v>
      </c>
      <c r="D45" s="11" t="s">
        <v>80</v>
      </c>
      <c r="E45" s="11" t="str">
        <f ca="1">VLOOKUP(RANDBETWEEN(1,8),TipoAccidente!A:C,3,0)</f>
        <v>Colisión con objeto fijo</v>
      </c>
      <c r="F45" s="11" t="str">
        <f ca="1">VLOOKUP(RANDBETWEEN(1,8),TipoAutomovilResponsable!A:C,3,0)</f>
        <v>Bus</v>
      </c>
      <c r="G45" s="9">
        <f t="shared" ca="1" si="0"/>
        <v>2</v>
      </c>
      <c r="H45" s="10">
        <v>3</v>
      </c>
      <c r="I45" s="26">
        <v>2</v>
      </c>
      <c r="J45" s="8" t="str">
        <f ca="1">VLOOKUP(RANDBETWEEN(1,6),TipoClima!A:C,3,0)</f>
        <v>Lluvia intensa</v>
      </c>
    </row>
    <row r="46" spans="1:10" ht="15.75" thickBot="1" x14ac:dyDescent="0.3">
      <c r="A46" s="12" t="s">
        <v>99</v>
      </c>
      <c r="B46" s="17">
        <v>46091</v>
      </c>
      <c r="C46" s="20">
        <v>7.5181388395746507E-2</v>
      </c>
      <c r="D46" s="15" t="s">
        <v>106</v>
      </c>
      <c r="E46" s="15" t="e">
        <f ca="1">VLOOKUP(RANDBETWEEN(1,8),TipoAccidente!A:C,3,0)</f>
        <v>#N/A</v>
      </c>
      <c r="F46" s="15" t="str">
        <f ca="1">VLOOKUP(RANDBETWEEN(1,8),TipoAutomovilResponsable!A:C,3,0)</f>
        <v>Camión</v>
      </c>
      <c r="G46" s="13">
        <f t="shared" ca="1" si="0"/>
        <v>3</v>
      </c>
      <c r="H46" s="14">
        <v>1</v>
      </c>
      <c r="I46" s="25">
        <v>1</v>
      </c>
      <c r="J46" s="12" t="str">
        <f ca="1">VLOOKUP(RANDBETWEEN(1,6),TipoClima!A:C,3,0)</f>
        <v>Neblina</v>
      </c>
    </row>
    <row r="47" spans="1:10" ht="15.75" thickBot="1" x14ac:dyDescent="0.3">
      <c r="A47" s="8" t="s">
        <v>101</v>
      </c>
      <c r="B47" s="18">
        <v>46130</v>
      </c>
      <c r="C47" s="21">
        <v>0.51502814089372206</v>
      </c>
      <c r="D47" s="11" t="s">
        <v>250</v>
      </c>
      <c r="E47" s="11" t="e">
        <f ca="1">VLOOKUP(RANDBETWEEN(1,8),TipoAccidente!A:C,3,0)</f>
        <v>#N/A</v>
      </c>
      <c r="F47" s="11" t="str">
        <f ca="1">VLOOKUP(RANDBETWEEN(1,8),TipoAutomovilResponsable!A:C,3,0)</f>
        <v>Bicicleta</v>
      </c>
      <c r="G47" s="9">
        <f t="shared" ca="1" si="0"/>
        <v>1</v>
      </c>
      <c r="H47" s="10">
        <v>2</v>
      </c>
      <c r="I47" s="26">
        <v>2</v>
      </c>
      <c r="J47" s="8" t="str">
        <f ca="1">VLOOKUP(RANDBETWEEN(1,6),TipoClima!A:C,3,0)</f>
        <v>Lluvia intensa</v>
      </c>
    </row>
    <row r="48" spans="1:10" ht="15.75" thickBot="1" x14ac:dyDescent="0.3">
      <c r="A48" s="12" t="s">
        <v>103</v>
      </c>
      <c r="B48" s="17">
        <v>46023</v>
      </c>
      <c r="C48" s="20">
        <v>8.7574645831088982E-2</v>
      </c>
      <c r="D48" s="15" t="s">
        <v>274</v>
      </c>
      <c r="E48" s="15" t="str">
        <f ca="1">VLOOKUP(RANDBETWEEN(1,8),TipoAccidente!A:C,3,0)</f>
        <v>Salida de vía</v>
      </c>
      <c r="F48" s="15" t="str">
        <f ca="1">VLOOKUP(RANDBETWEEN(1,8),TipoAutomovilResponsable!A:C,3,0)</f>
        <v>Bus</v>
      </c>
      <c r="G48" s="13">
        <f t="shared" ca="1" si="0"/>
        <v>2</v>
      </c>
      <c r="H48" s="14">
        <v>3</v>
      </c>
      <c r="I48" s="25">
        <v>2</v>
      </c>
      <c r="J48" s="12" t="str">
        <f ca="1">VLOOKUP(RANDBETWEEN(1,6),TipoClima!A:C,3,0)</f>
        <v>Nublado</v>
      </c>
    </row>
    <row r="49" spans="1:10" ht="15.75" thickBot="1" x14ac:dyDescent="0.3">
      <c r="A49" s="8" t="s">
        <v>105</v>
      </c>
      <c r="B49" s="18">
        <v>46066</v>
      </c>
      <c r="C49" s="21">
        <v>0.3235400835765514</v>
      </c>
      <c r="D49" s="11" t="s">
        <v>285</v>
      </c>
      <c r="E49" s="11" t="e">
        <f ca="1">VLOOKUP(RANDBETWEEN(1,8),TipoAccidente!A:C,3,0)</f>
        <v>#N/A</v>
      </c>
      <c r="F49" s="11" t="str">
        <f ca="1">VLOOKUP(RANDBETWEEN(1,8),TipoAutomovilResponsable!A:C,3,0)</f>
        <v>Tractocamión</v>
      </c>
      <c r="G49" s="9">
        <f t="shared" ca="1" si="0"/>
        <v>2</v>
      </c>
      <c r="H49" s="10">
        <v>2</v>
      </c>
      <c r="I49" s="26">
        <v>0</v>
      </c>
      <c r="J49" s="8" t="str">
        <f ca="1">VLOOKUP(RANDBETWEEN(1,6),TipoClima!A:C,3,0)</f>
        <v>Lluvia intensa</v>
      </c>
    </row>
    <row r="50" spans="1:10" ht="15.75" thickBot="1" x14ac:dyDescent="0.3">
      <c r="A50" s="12" t="s">
        <v>107</v>
      </c>
      <c r="B50" s="17">
        <v>46099</v>
      </c>
      <c r="C50" s="20">
        <v>0.28899609308415997</v>
      </c>
      <c r="D50" s="15" t="s">
        <v>265</v>
      </c>
      <c r="E50" s="15" t="str">
        <f ca="1">VLOOKUP(RANDBETWEEN(1,8),TipoAccidente!A:C,3,0)</f>
        <v>Salida de vía</v>
      </c>
      <c r="F50" s="15" t="str">
        <f ca="1">VLOOKUP(RANDBETWEEN(1,8),TipoAutomovilResponsable!A:C,3,0)</f>
        <v>Bus</v>
      </c>
      <c r="G50" s="13">
        <f t="shared" ca="1" si="0"/>
        <v>3</v>
      </c>
      <c r="H50" s="14">
        <v>5</v>
      </c>
      <c r="I50" s="25">
        <v>0</v>
      </c>
      <c r="J50" s="12" t="str">
        <f ca="1">VLOOKUP(RANDBETWEEN(1,6),TipoClima!A:C,3,0)</f>
        <v>Soleado</v>
      </c>
    </row>
    <row r="51" spans="1:10" ht="15.75" thickBot="1" x14ac:dyDescent="0.3">
      <c r="A51" s="8" t="s">
        <v>109</v>
      </c>
      <c r="B51" s="18">
        <v>46179</v>
      </c>
      <c r="C51" s="21">
        <v>4.3887971650919844E-2</v>
      </c>
      <c r="D51" s="11" t="s">
        <v>266</v>
      </c>
      <c r="E51" s="11" t="e">
        <f ca="1">VLOOKUP(RANDBETWEEN(1,8),TipoAccidente!A:C,3,0)</f>
        <v>#N/A</v>
      </c>
      <c r="F51" s="11" t="str">
        <f ca="1">VLOOKUP(RANDBETWEEN(1,8),TipoAutomovilResponsable!A:C,3,0)</f>
        <v>Tractocamión</v>
      </c>
      <c r="G51" s="9">
        <f t="shared" ca="1" si="0"/>
        <v>3</v>
      </c>
      <c r="H51" s="10">
        <v>5</v>
      </c>
      <c r="I51" s="26">
        <v>1</v>
      </c>
      <c r="J51" s="8" t="str">
        <f ca="1">VLOOKUP(RANDBETWEEN(1,6),TipoClima!A:C,3,0)</f>
        <v>Neblina</v>
      </c>
    </row>
    <row r="52" spans="1:10" ht="15.75" thickBot="1" x14ac:dyDescent="0.3">
      <c r="A52" s="12" t="s">
        <v>178</v>
      </c>
      <c r="B52" s="17">
        <v>46068</v>
      </c>
      <c r="C52" s="20">
        <v>0.77252978072740341</v>
      </c>
      <c r="D52" s="15" t="s">
        <v>238</v>
      </c>
      <c r="E52" s="15" t="e">
        <f ca="1">VLOOKUP(RANDBETWEEN(1,8),TipoAccidente!A:C,3,0)</f>
        <v>#N/A</v>
      </c>
      <c r="F52" s="15" t="str">
        <f ca="1">VLOOKUP(RANDBETWEEN(1,8),TipoAutomovilResponsable!A:C,3,0)</f>
        <v>Motocicleta</v>
      </c>
      <c r="G52" s="13">
        <f t="shared" ca="1" si="0"/>
        <v>2</v>
      </c>
      <c r="H52" s="14">
        <v>3</v>
      </c>
      <c r="I52" s="25">
        <v>0</v>
      </c>
      <c r="J52" s="12" t="str">
        <f ca="1">VLOOKUP(RANDBETWEEN(1,6),TipoClima!A:C,3,0)</f>
        <v>Nublado</v>
      </c>
    </row>
    <row r="53" spans="1:10" ht="15.75" thickBot="1" x14ac:dyDescent="0.3">
      <c r="A53" s="8" t="s">
        <v>179</v>
      </c>
      <c r="B53" s="18">
        <v>46202</v>
      </c>
      <c r="C53" s="21">
        <v>9.1179287638870843E-2</v>
      </c>
      <c r="D53" s="11" t="s">
        <v>30</v>
      </c>
      <c r="E53" s="11" t="str">
        <f ca="1">VLOOKUP(RANDBETWEEN(1,8),TipoAccidente!A:C,3,0)</f>
        <v>Atropello</v>
      </c>
      <c r="F53" s="11" t="str">
        <f ca="1">VLOOKUP(RANDBETWEEN(1,8),TipoAutomovilResponsable!A:C,3,0)</f>
        <v>Camioneta</v>
      </c>
      <c r="G53" s="9">
        <f t="shared" ca="1" si="0"/>
        <v>1</v>
      </c>
      <c r="H53" s="10">
        <v>3</v>
      </c>
      <c r="I53" s="26">
        <v>2</v>
      </c>
      <c r="J53" s="8" t="str">
        <f ca="1">VLOOKUP(RANDBETWEEN(1,6),TipoClima!A:C,3,0)</f>
        <v>Nublado</v>
      </c>
    </row>
    <row r="54" spans="1:10" ht="15.75" thickBot="1" x14ac:dyDescent="0.3">
      <c r="A54" s="12" t="s">
        <v>180</v>
      </c>
      <c r="B54" s="17">
        <v>46184</v>
      </c>
      <c r="C54" s="20">
        <v>0.87182794080202242</v>
      </c>
      <c r="D54" s="15" t="s">
        <v>58</v>
      </c>
      <c r="E54" s="15" t="str">
        <f ca="1">VLOOKUP(RANDBETWEEN(1,8),TipoAccidente!A:C,3,0)</f>
        <v>Choque entre vehículos</v>
      </c>
      <c r="F54" s="15" t="str">
        <f ca="1">VLOOKUP(RANDBETWEEN(1,8),TipoAutomovilResponsable!A:C,3,0)</f>
        <v>Automóvil</v>
      </c>
      <c r="G54" s="13">
        <f t="shared" ca="1" si="0"/>
        <v>2</v>
      </c>
      <c r="H54" s="14">
        <v>1</v>
      </c>
      <c r="I54" s="25">
        <v>1</v>
      </c>
      <c r="J54" s="12" t="str">
        <f ca="1">VLOOKUP(RANDBETWEEN(1,6),TipoClima!A:C,3,0)</f>
        <v>Lluvia ligera</v>
      </c>
    </row>
    <row r="55" spans="1:10" ht="15.75" thickBot="1" x14ac:dyDescent="0.3">
      <c r="A55" s="8" t="s">
        <v>181</v>
      </c>
      <c r="B55" s="18">
        <v>46131</v>
      </c>
      <c r="C55" s="21">
        <v>0.5851734543571403</v>
      </c>
      <c r="D55" s="11" t="s">
        <v>80</v>
      </c>
      <c r="E55" s="11" t="str">
        <f ca="1">VLOOKUP(RANDBETWEEN(1,8),TipoAccidente!A:C,3,0)</f>
        <v>Colisión con objeto fijo</v>
      </c>
      <c r="F55" s="11" t="str">
        <f ca="1">VLOOKUP(RANDBETWEEN(1,8),TipoAutomovilResponsable!A:C,3,0)</f>
        <v>Camión</v>
      </c>
      <c r="G55" s="9">
        <f t="shared" ca="1" si="0"/>
        <v>3</v>
      </c>
      <c r="H55" s="10">
        <v>3</v>
      </c>
      <c r="I55" s="26">
        <v>0</v>
      </c>
      <c r="J55" s="8" t="str">
        <f ca="1">VLOOKUP(RANDBETWEEN(1,6),TipoClima!A:C,3,0)</f>
        <v>Nublado</v>
      </c>
    </row>
    <row r="56" spans="1:10" ht="15.75" thickBot="1" x14ac:dyDescent="0.3">
      <c r="A56" s="12" t="s">
        <v>182</v>
      </c>
      <c r="B56" s="17">
        <v>46216</v>
      </c>
      <c r="C56" s="20">
        <v>0.55538781172350526</v>
      </c>
      <c r="D56" s="15" t="s">
        <v>22</v>
      </c>
      <c r="E56" s="15" t="e">
        <f ca="1">VLOOKUP(RANDBETWEEN(1,8),TipoAccidente!A:C,3,0)</f>
        <v>#N/A</v>
      </c>
      <c r="F56" s="15" t="str">
        <f ca="1">VLOOKUP(RANDBETWEEN(1,8),TipoAutomovilResponsable!A:C,3,0)</f>
        <v>Tractocamión</v>
      </c>
      <c r="G56" s="13">
        <f t="shared" ca="1" si="0"/>
        <v>1</v>
      </c>
      <c r="H56" s="14">
        <v>1</v>
      </c>
      <c r="I56" s="25">
        <v>0</v>
      </c>
      <c r="J56" s="12" t="str">
        <f ca="1">VLOOKUP(RANDBETWEEN(1,6),TipoClima!A:C,3,0)</f>
        <v>Lluvia ligera</v>
      </c>
    </row>
    <row r="57" spans="1:10" ht="15.75" thickBot="1" x14ac:dyDescent="0.3">
      <c r="A57" s="8" t="s">
        <v>183</v>
      </c>
      <c r="B57" s="18">
        <v>46095</v>
      </c>
      <c r="C57" s="21">
        <v>0.29275913663659503</v>
      </c>
      <c r="D57" s="11" t="s">
        <v>249</v>
      </c>
      <c r="E57" s="11" t="str">
        <f ca="1">VLOOKUP(RANDBETWEEN(1,8),TipoAccidente!A:C,3,0)</f>
        <v>Salida de vía</v>
      </c>
      <c r="F57" s="11" t="str">
        <f ca="1">VLOOKUP(RANDBETWEEN(1,8),TipoAutomovilResponsable!A:C,3,0)</f>
        <v>Bus</v>
      </c>
      <c r="G57" s="9">
        <f t="shared" ca="1" si="0"/>
        <v>2</v>
      </c>
      <c r="H57" s="10">
        <v>5</v>
      </c>
      <c r="I57" s="26">
        <v>2</v>
      </c>
      <c r="J57" s="8" t="str">
        <f ca="1">VLOOKUP(RANDBETWEEN(1,6),TipoClima!A:C,3,0)</f>
        <v>Neblina</v>
      </c>
    </row>
    <row r="58" spans="1:10" ht="15.75" thickBot="1" x14ac:dyDescent="0.3">
      <c r="A58" s="12" t="s">
        <v>184</v>
      </c>
      <c r="B58" s="17">
        <v>46172</v>
      </c>
      <c r="C58" s="20">
        <v>0.77844796497476043</v>
      </c>
      <c r="D58" s="15" t="s">
        <v>17</v>
      </c>
      <c r="E58" s="15" t="str">
        <f ca="1">VLOOKUP(RANDBETWEEN(1,8),TipoAccidente!A:C,3,0)</f>
        <v>Volcamiento</v>
      </c>
      <c r="F58" s="15" t="str">
        <f ca="1">VLOOKUP(RANDBETWEEN(1,8),TipoAutomovilResponsable!A:C,3,0)</f>
        <v>Bicicleta</v>
      </c>
      <c r="G58" s="13">
        <f t="shared" ca="1" si="0"/>
        <v>1</v>
      </c>
      <c r="H58" s="14">
        <v>2</v>
      </c>
      <c r="I58" s="25">
        <v>1</v>
      </c>
      <c r="J58" s="12" t="str">
        <f ca="1">VLOOKUP(RANDBETWEEN(1,6),TipoClima!A:C,3,0)</f>
        <v>Lluvia intensa</v>
      </c>
    </row>
    <row r="59" spans="1:10" ht="15.75" thickBot="1" x14ac:dyDescent="0.3">
      <c r="A59" s="8" t="s">
        <v>185</v>
      </c>
      <c r="B59" s="18">
        <v>46105</v>
      </c>
      <c r="C59" s="21">
        <v>7.5139629091970583E-2</v>
      </c>
      <c r="D59" s="11" t="s">
        <v>102</v>
      </c>
      <c r="E59" s="11" t="str">
        <f ca="1">VLOOKUP(RANDBETWEEN(1,8),TipoAccidente!A:C,3,0)</f>
        <v>Colisión con objeto fijo</v>
      </c>
      <c r="F59" s="11" t="str">
        <f ca="1">VLOOKUP(RANDBETWEEN(1,8),TipoAutomovilResponsable!A:C,3,0)</f>
        <v>Taxi</v>
      </c>
      <c r="G59" s="9">
        <f t="shared" ca="1" si="0"/>
        <v>3</v>
      </c>
      <c r="H59" s="10">
        <v>2</v>
      </c>
      <c r="I59" s="26">
        <v>2</v>
      </c>
      <c r="J59" s="8" t="str">
        <f ca="1">VLOOKUP(RANDBETWEEN(1,6),TipoClima!A:C,3,0)</f>
        <v>Nublado</v>
      </c>
    </row>
    <row r="60" spans="1:10" ht="15.75" thickBot="1" x14ac:dyDescent="0.3">
      <c r="A60" s="12" t="s">
        <v>186</v>
      </c>
      <c r="B60" s="17">
        <v>46052</v>
      </c>
      <c r="C60" s="20">
        <v>0.66608253064328493</v>
      </c>
      <c r="D60" s="15" t="s">
        <v>100</v>
      </c>
      <c r="E60" s="15" t="e">
        <f ca="1">VLOOKUP(RANDBETWEEN(1,8),TipoAccidente!A:C,3,0)</f>
        <v>#N/A</v>
      </c>
      <c r="F60" s="15" t="str">
        <f ca="1">VLOOKUP(RANDBETWEEN(1,8),TipoAutomovilResponsable!A:C,3,0)</f>
        <v>Bus</v>
      </c>
      <c r="G60" s="13">
        <f t="shared" ca="1" si="0"/>
        <v>1</v>
      </c>
      <c r="H60" s="14">
        <v>1</v>
      </c>
      <c r="I60" s="25">
        <v>2</v>
      </c>
      <c r="J60" s="12" t="str">
        <f ca="1">VLOOKUP(RANDBETWEEN(1,6),TipoClima!A:C,3,0)</f>
        <v>Nublado</v>
      </c>
    </row>
    <row r="61" spans="1:10" ht="15.75" thickBot="1" x14ac:dyDescent="0.3">
      <c r="A61" s="8" t="s">
        <v>187</v>
      </c>
      <c r="B61" s="18">
        <v>46165</v>
      </c>
      <c r="C61" s="21">
        <v>9.0162713667955141E-2</v>
      </c>
      <c r="D61" s="11" t="s">
        <v>250</v>
      </c>
      <c r="E61" s="11" t="str">
        <f ca="1">VLOOKUP(RANDBETWEEN(1,8),TipoAccidente!A:C,3,0)</f>
        <v>Salida de vía</v>
      </c>
      <c r="F61" s="11" t="str">
        <f ca="1">VLOOKUP(RANDBETWEEN(1,8),TipoAutomovilResponsable!A:C,3,0)</f>
        <v>Tractocamión</v>
      </c>
      <c r="G61" s="9">
        <f t="shared" ca="1" si="0"/>
        <v>2</v>
      </c>
      <c r="H61" s="10">
        <v>2</v>
      </c>
      <c r="I61" s="26">
        <v>2</v>
      </c>
      <c r="J61" s="8" t="str">
        <f ca="1">VLOOKUP(RANDBETWEEN(1,6),TipoClima!A:C,3,0)</f>
        <v>Nublado</v>
      </c>
    </row>
    <row r="62" spans="1:10" ht="15.75" thickBot="1" x14ac:dyDescent="0.3">
      <c r="A62" s="12" t="s">
        <v>188</v>
      </c>
      <c r="B62" s="17">
        <v>46049</v>
      </c>
      <c r="C62" s="20">
        <v>9.4108044476820529E-2</v>
      </c>
      <c r="D62" s="15" t="s">
        <v>66</v>
      </c>
      <c r="E62" s="15" t="e">
        <f ca="1">VLOOKUP(RANDBETWEEN(1,8),TipoAccidente!A:C,3,0)</f>
        <v>#N/A</v>
      </c>
      <c r="F62" s="15" t="str">
        <f ca="1">VLOOKUP(RANDBETWEEN(1,8),TipoAutomovilResponsable!A:C,3,0)</f>
        <v>Tractocamión</v>
      </c>
      <c r="G62" s="13">
        <f t="shared" ca="1" si="0"/>
        <v>1</v>
      </c>
      <c r="H62" s="14">
        <v>2</v>
      </c>
      <c r="I62" s="25">
        <v>2</v>
      </c>
      <c r="J62" s="12" t="str">
        <f ca="1">VLOOKUP(RANDBETWEEN(1,6),TipoClima!A:C,3,0)</f>
        <v>Lluvia ligera</v>
      </c>
    </row>
    <row r="63" spans="1:10" ht="15.75" thickBot="1" x14ac:dyDescent="0.3">
      <c r="A63" s="8" t="s">
        <v>189</v>
      </c>
      <c r="B63" s="18">
        <v>46091</v>
      </c>
      <c r="C63" s="21">
        <v>0.62970874161135015</v>
      </c>
      <c r="D63" s="11" t="s">
        <v>267</v>
      </c>
      <c r="E63" s="11" t="str">
        <f ca="1">VLOOKUP(RANDBETWEEN(1,8),TipoAccidente!A:C,3,0)</f>
        <v>Choque entre vehículos</v>
      </c>
      <c r="F63" s="11" t="str">
        <f ca="1">VLOOKUP(RANDBETWEEN(1,8),TipoAutomovilResponsable!A:C,3,0)</f>
        <v>Camión</v>
      </c>
      <c r="G63" s="9">
        <f t="shared" ca="1" si="0"/>
        <v>3</v>
      </c>
      <c r="H63" s="10">
        <v>2</v>
      </c>
      <c r="I63" s="26">
        <v>0</v>
      </c>
      <c r="J63" s="8" t="str">
        <f ca="1">VLOOKUP(RANDBETWEEN(1,6),TipoClima!A:C,3,0)</f>
        <v>Lluvia intensa</v>
      </c>
    </row>
    <row r="64" spans="1:10" ht="15.75" thickBot="1" x14ac:dyDescent="0.3">
      <c r="A64" s="12" t="s">
        <v>190</v>
      </c>
      <c r="B64" s="17">
        <v>46066</v>
      </c>
      <c r="C64" s="20">
        <v>0.29123438085867404</v>
      </c>
      <c r="D64" s="15" t="s">
        <v>104</v>
      </c>
      <c r="E64" s="15" t="str">
        <f ca="1">VLOOKUP(RANDBETWEEN(1,8),TipoAccidente!A:C,3,0)</f>
        <v>Choque entre vehículos</v>
      </c>
      <c r="F64" s="15" t="str">
        <f ca="1">VLOOKUP(RANDBETWEEN(1,8),TipoAutomovilResponsable!A:C,3,0)</f>
        <v>Bicicleta</v>
      </c>
      <c r="G64" s="13">
        <f t="shared" ca="1" si="0"/>
        <v>2</v>
      </c>
      <c r="H64" s="14">
        <v>2</v>
      </c>
      <c r="I64" s="25">
        <v>2</v>
      </c>
      <c r="J64" s="12" t="str">
        <f ca="1">VLOOKUP(RANDBETWEEN(1,6),TipoClima!A:C,3,0)</f>
        <v>Neblina</v>
      </c>
    </row>
    <row r="65" spans="1:10" ht="15.75" thickBot="1" x14ac:dyDescent="0.3">
      <c r="A65" s="8" t="s">
        <v>191</v>
      </c>
      <c r="B65" s="18">
        <v>46097</v>
      </c>
      <c r="C65" s="21">
        <v>0.21655807819956874</v>
      </c>
      <c r="D65" s="11" t="s">
        <v>263</v>
      </c>
      <c r="E65" s="11" t="e">
        <f ca="1">VLOOKUP(RANDBETWEEN(1,8),TipoAccidente!A:C,3,0)</f>
        <v>#N/A</v>
      </c>
      <c r="F65" s="11" t="str">
        <f ca="1">VLOOKUP(RANDBETWEEN(1,8),TipoAutomovilResponsable!A:C,3,0)</f>
        <v>Camioneta</v>
      </c>
      <c r="G65" s="9">
        <f t="shared" ca="1" si="0"/>
        <v>3</v>
      </c>
      <c r="H65" s="10">
        <v>4</v>
      </c>
      <c r="I65" s="26">
        <v>2</v>
      </c>
      <c r="J65" s="8" t="str">
        <f ca="1">VLOOKUP(RANDBETWEEN(1,6),TipoClima!A:C,3,0)</f>
        <v>Soleado</v>
      </c>
    </row>
    <row r="66" spans="1:10" ht="15.75" thickBot="1" x14ac:dyDescent="0.3">
      <c r="A66" s="12" t="s">
        <v>192</v>
      </c>
      <c r="B66" s="17">
        <v>46175</v>
      </c>
      <c r="C66" s="20">
        <v>0.23610002674800568</v>
      </c>
      <c r="D66" s="15" t="s">
        <v>272</v>
      </c>
      <c r="E66" s="15" t="e">
        <f ca="1">VLOOKUP(RANDBETWEEN(1,8),TipoAccidente!A:C,3,0)</f>
        <v>#N/A</v>
      </c>
      <c r="F66" s="15" t="str">
        <f ca="1">VLOOKUP(RANDBETWEEN(1,8),TipoAutomovilResponsable!A:C,3,0)</f>
        <v>Camión</v>
      </c>
      <c r="G66" s="13">
        <f t="shared" ca="1" si="0"/>
        <v>3</v>
      </c>
      <c r="H66" s="14">
        <v>1</v>
      </c>
      <c r="I66" s="25">
        <v>1</v>
      </c>
      <c r="J66" s="12" t="str">
        <f ca="1">VLOOKUP(RANDBETWEEN(1,6),TipoClima!A:C,3,0)</f>
        <v>Viento fuerte</v>
      </c>
    </row>
    <row r="67" spans="1:10" ht="15.75" thickBot="1" x14ac:dyDescent="0.3">
      <c r="A67" s="8" t="s">
        <v>193</v>
      </c>
      <c r="B67" s="18">
        <v>46025</v>
      </c>
      <c r="C67" s="21">
        <v>0.53366293451582614</v>
      </c>
      <c r="D67" s="11" t="s">
        <v>249</v>
      </c>
      <c r="E67" s="11" t="str">
        <f ca="1">VLOOKUP(RANDBETWEEN(1,8),TipoAccidente!A:C,3,0)</f>
        <v>Choque entre vehículos</v>
      </c>
      <c r="F67" s="11" t="str">
        <f ca="1">VLOOKUP(RANDBETWEEN(1,8),TipoAutomovilResponsable!A:C,3,0)</f>
        <v>Camión</v>
      </c>
      <c r="G67" s="9">
        <f t="shared" ref="G67:G130" ca="1" si="1">RANDBETWEEN(1,3)</f>
        <v>3</v>
      </c>
      <c r="H67" s="10">
        <v>1</v>
      </c>
      <c r="I67" s="26">
        <v>1</v>
      </c>
      <c r="J67" s="8" t="str">
        <f ca="1">VLOOKUP(RANDBETWEEN(1,6),TipoClima!A:C,3,0)</f>
        <v>Lluvia intensa</v>
      </c>
    </row>
    <row r="68" spans="1:10" ht="15.75" thickBot="1" x14ac:dyDescent="0.3">
      <c r="A68" s="12" t="s">
        <v>194</v>
      </c>
      <c r="B68" s="17">
        <v>46202</v>
      </c>
      <c r="C68" s="20">
        <v>0.23296447896430028</v>
      </c>
      <c r="D68" s="15" t="s">
        <v>34</v>
      </c>
      <c r="E68" s="15" t="str">
        <f ca="1">VLOOKUP(RANDBETWEEN(1,8),TipoAccidente!A:C,3,0)</f>
        <v>Colisión con objeto fijo</v>
      </c>
      <c r="F68" s="15" t="str">
        <f ca="1">VLOOKUP(RANDBETWEEN(1,8),TipoAutomovilResponsable!A:C,3,0)</f>
        <v>Automóvil</v>
      </c>
      <c r="G68" s="13">
        <f t="shared" ca="1" si="1"/>
        <v>1</v>
      </c>
      <c r="H68" s="14">
        <v>5</v>
      </c>
      <c r="I68" s="25">
        <v>2</v>
      </c>
      <c r="J68" s="12" t="str">
        <f ca="1">VLOOKUP(RANDBETWEEN(1,6),TipoClima!A:C,3,0)</f>
        <v>Lluvia intensa</v>
      </c>
    </row>
    <row r="69" spans="1:10" ht="15.75" thickBot="1" x14ac:dyDescent="0.3">
      <c r="A69" s="8" t="s">
        <v>195</v>
      </c>
      <c r="B69" s="18">
        <v>46076</v>
      </c>
      <c r="C69" s="21">
        <v>0.10548972010166358</v>
      </c>
      <c r="D69" s="11" t="s">
        <v>285</v>
      </c>
      <c r="E69" s="11" t="str">
        <f ca="1">VLOOKUP(RANDBETWEEN(1,8),TipoAccidente!A:C,3,0)</f>
        <v>Volcamiento</v>
      </c>
      <c r="F69" s="11" t="str">
        <f ca="1">VLOOKUP(RANDBETWEEN(1,8),TipoAutomovilResponsable!A:C,3,0)</f>
        <v>Camioneta</v>
      </c>
      <c r="G69" s="9">
        <f t="shared" ca="1" si="1"/>
        <v>2</v>
      </c>
      <c r="H69" s="10">
        <v>2</v>
      </c>
      <c r="I69" s="26">
        <v>0</v>
      </c>
      <c r="J69" s="8" t="str">
        <f ca="1">VLOOKUP(RANDBETWEEN(1,6),TipoClima!A:C,3,0)</f>
        <v>Neblina</v>
      </c>
    </row>
    <row r="70" spans="1:10" ht="15.75" thickBot="1" x14ac:dyDescent="0.3">
      <c r="A70" s="12" t="s">
        <v>196</v>
      </c>
      <c r="B70" s="17">
        <v>46030</v>
      </c>
      <c r="C70" s="20">
        <v>0.47665178032615463</v>
      </c>
      <c r="D70" s="15" t="s">
        <v>246</v>
      </c>
      <c r="E70" s="15" t="e">
        <f ca="1">VLOOKUP(RANDBETWEEN(1,8),TipoAccidente!A:C,3,0)</f>
        <v>#N/A</v>
      </c>
      <c r="F70" s="15" t="str">
        <f ca="1">VLOOKUP(RANDBETWEEN(1,8),TipoAutomovilResponsable!A:C,3,0)</f>
        <v>Tractocamión</v>
      </c>
      <c r="G70" s="13">
        <f t="shared" ca="1" si="1"/>
        <v>3</v>
      </c>
      <c r="H70" s="14">
        <v>1</v>
      </c>
      <c r="I70" s="25">
        <v>0</v>
      </c>
      <c r="J70" s="12" t="str">
        <f ca="1">VLOOKUP(RANDBETWEEN(1,6),TipoClima!A:C,3,0)</f>
        <v>Soleado</v>
      </c>
    </row>
    <row r="71" spans="1:10" ht="15.75" thickBot="1" x14ac:dyDescent="0.3">
      <c r="A71" s="8" t="s">
        <v>197</v>
      </c>
      <c r="B71" s="18">
        <v>46216</v>
      </c>
      <c r="C71" s="21">
        <v>0.859597270036214</v>
      </c>
      <c r="D71" s="11" t="s">
        <v>60</v>
      </c>
      <c r="E71" s="11" t="str">
        <f ca="1">VLOOKUP(RANDBETWEEN(1,8),TipoAccidente!A:C,3,0)</f>
        <v>Salida de vía</v>
      </c>
      <c r="F71" s="11" t="str">
        <f ca="1">VLOOKUP(RANDBETWEEN(1,8),TipoAutomovilResponsable!A:C,3,0)</f>
        <v>Bus</v>
      </c>
      <c r="G71" s="9">
        <f t="shared" ca="1" si="1"/>
        <v>2</v>
      </c>
      <c r="H71" s="10">
        <v>1</v>
      </c>
      <c r="I71" s="26">
        <v>1</v>
      </c>
      <c r="J71" s="8" t="str">
        <f ca="1">VLOOKUP(RANDBETWEEN(1,6),TipoClima!A:C,3,0)</f>
        <v>Soleado</v>
      </c>
    </row>
    <row r="72" spans="1:10" ht="15.75" thickBot="1" x14ac:dyDescent="0.3">
      <c r="A72" s="12" t="s">
        <v>198</v>
      </c>
      <c r="B72" s="17">
        <v>46095</v>
      </c>
      <c r="C72" s="20">
        <v>0.45703731222323252</v>
      </c>
      <c r="D72" s="15" t="s">
        <v>82</v>
      </c>
      <c r="E72" s="15" t="e">
        <f ca="1">VLOOKUP(RANDBETWEEN(1,8),TipoAccidente!A:C,3,0)</f>
        <v>#N/A</v>
      </c>
      <c r="F72" s="15" t="str">
        <f ca="1">VLOOKUP(RANDBETWEEN(1,8),TipoAutomovilResponsable!A:C,3,0)</f>
        <v>Camioneta</v>
      </c>
      <c r="G72" s="13">
        <f t="shared" ca="1" si="1"/>
        <v>3</v>
      </c>
      <c r="H72" s="14">
        <v>2</v>
      </c>
      <c r="I72" s="25">
        <v>0</v>
      </c>
      <c r="J72" s="12" t="str">
        <f ca="1">VLOOKUP(RANDBETWEEN(1,6),TipoClima!A:C,3,0)</f>
        <v>Lluvia ligera</v>
      </c>
    </row>
    <row r="73" spans="1:10" ht="15.75" thickBot="1" x14ac:dyDescent="0.3">
      <c r="A73" s="8" t="s">
        <v>199</v>
      </c>
      <c r="B73" s="18">
        <v>46189</v>
      </c>
      <c r="C73" s="21">
        <v>0.73550965869089791</v>
      </c>
      <c r="D73" s="11" t="s">
        <v>30</v>
      </c>
      <c r="E73" s="11" t="e">
        <f ca="1">VLOOKUP(RANDBETWEEN(1,8),TipoAccidente!A:C,3,0)</f>
        <v>#N/A</v>
      </c>
      <c r="F73" s="11" t="str">
        <f ca="1">VLOOKUP(RANDBETWEEN(1,8),TipoAutomovilResponsable!A:C,3,0)</f>
        <v>Bicicleta</v>
      </c>
      <c r="G73" s="9">
        <f t="shared" ca="1" si="1"/>
        <v>1</v>
      </c>
      <c r="H73" s="10">
        <v>1</v>
      </c>
      <c r="I73" s="26">
        <v>1</v>
      </c>
      <c r="J73" s="8" t="str">
        <f ca="1">VLOOKUP(RANDBETWEEN(1,6),TipoClima!A:C,3,0)</f>
        <v>Soleado</v>
      </c>
    </row>
    <row r="74" spans="1:10" ht="15.75" thickBot="1" x14ac:dyDescent="0.3">
      <c r="A74" s="12" t="s">
        <v>200</v>
      </c>
      <c r="B74" s="17">
        <v>46189</v>
      </c>
      <c r="C74" s="20">
        <v>0.91695825557750077</v>
      </c>
      <c r="D74" s="15" t="s">
        <v>259</v>
      </c>
      <c r="E74" s="15" t="e">
        <f ca="1">VLOOKUP(RANDBETWEEN(1,8),TipoAccidente!A:C,3,0)</f>
        <v>#N/A</v>
      </c>
      <c r="F74" s="15" t="str">
        <f ca="1">VLOOKUP(RANDBETWEEN(1,8),TipoAutomovilResponsable!A:C,3,0)</f>
        <v>Automóvil</v>
      </c>
      <c r="G74" s="13">
        <f t="shared" ca="1" si="1"/>
        <v>3</v>
      </c>
      <c r="H74" s="14">
        <v>4</v>
      </c>
      <c r="I74" s="25">
        <v>2</v>
      </c>
      <c r="J74" s="12" t="str">
        <f ca="1">VLOOKUP(RANDBETWEEN(1,6),TipoClima!A:C,3,0)</f>
        <v>Lluvia ligera</v>
      </c>
    </row>
    <row r="75" spans="1:10" ht="15.75" thickBot="1" x14ac:dyDescent="0.3">
      <c r="A75" s="8" t="s">
        <v>201</v>
      </c>
      <c r="B75" s="18">
        <v>46070</v>
      </c>
      <c r="C75" s="21">
        <v>0.13873173950107898</v>
      </c>
      <c r="D75" s="11" t="s">
        <v>106</v>
      </c>
      <c r="E75" s="11" t="str">
        <f ca="1">VLOOKUP(RANDBETWEEN(1,8),TipoAccidente!A:C,3,0)</f>
        <v>Colisión con objeto fijo</v>
      </c>
      <c r="F75" s="11" t="str">
        <f ca="1">VLOOKUP(RANDBETWEEN(1,8),TipoAutomovilResponsable!A:C,3,0)</f>
        <v>Bus</v>
      </c>
      <c r="G75" s="9">
        <f t="shared" ca="1" si="1"/>
        <v>3</v>
      </c>
      <c r="H75" s="10">
        <v>4</v>
      </c>
      <c r="I75" s="26">
        <v>0</v>
      </c>
      <c r="J75" s="8" t="str">
        <f ca="1">VLOOKUP(RANDBETWEEN(1,6),TipoClima!A:C,3,0)</f>
        <v>Lluvia intensa</v>
      </c>
    </row>
    <row r="76" spans="1:10" ht="15.75" thickBot="1" x14ac:dyDescent="0.3">
      <c r="A76" s="12" t="s">
        <v>202</v>
      </c>
      <c r="B76" s="17">
        <v>46185</v>
      </c>
      <c r="C76" s="20">
        <v>0.43368335166458361</v>
      </c>
      <c r="D76" s="15" t="s">
        <v>255</v>
      </c>
      <c r="E76" s="15" t="str">
        <f ca="1">VLOOKUP(RANDBETWEEN(1,8),TipoAccidente!A:C,3,0)</f>
        <v>Colisión con objeto fijo</v>
      </c>
      <c r="F76" s="15" t="str">
        <f ca="1">VLOOKUP(RANDBETWEEN(1,8),TipoAutomovilResponsable!A:C,3,0)</f>
        <v>Camioneta</v>
      </c>
      <c r="G76" s="13">
        <f t="shared" ca="1" si="1"/>
        <v>1</v>
      </c>
      <c r="H76" s="14">
        <v>2</v>
      </c>
      <c r="I76" s="25">
        <v>1</v>
      </c>
      <c r="J76" s="12" t="str">
        <f ca="1">VLOOKUP(RANDBETWEEN(1,6),TipoClima!A:C,3,0)</f>
        <v>Soleado</v>
      </c>
    </row>
    <row r="77" spans="1:10" ht="15.75" thickBot="1" x14ac:dyDescent="0.3">
      <c r="A77" s="8" t="s">
        <v>203</v>
      </c>
      <c r="B77" s="18">
        <v>46211</v>
      </c>
      <c r="C77" s="21">
        <v>0.84552381885123118</v>
      </c>
      <c r="D77" s="11" t="s">
        <v>241</v>
      </c>
      <c r="E77" s="11" t="str">
        <f ca="1">VLOOKUP(RANDBETWEEN(1,8),TipoAccidente!A:C,3,0)</f>
        <v>Volcamiento</v>
      </c>
      <c r="F77" s="11" t="str">
        <f ca="1">VLOOKUP(RANDBETWEEN(1,8),TipoAutomovilResponsable!A:C,3,0)</f>
        <v>Camioneta</v>
      </c>
      <c r="G77" s="9">
        <f t="shared" ca="1" si="1"/>
        <v>2</v>
      </c>
      <c r="H77" s="10">
        <v>2</v>
      </c>
      <c r="I77" s="26">
        <v>0</v>
      </c>
      <c r="J77" s="8" t="str">
        <f ca="1">VLOOKUP(RANDBETWEEN(1,6),TipoClima!A:C,3,0)</f>
        <v>Viento fuerte</v>
      </c>
    </row>
    <row r="78" spans="1:10" ht="15.75" thickBot="1" x14ac:dyDescent="0.3">
      <c r="A78" s="12" t="s">
        <v>204</v>
      </c>
      <c r="B78" s="17">
        <v>46092</v>
      </c>
      <c r="C78" s="20">
        <v>6.0171377445551677E-2</v>
      </c>
      <c r="D78" s="15" t="s">
        <v>284</v>
      </c>
      <c r="E78" s="15" t="str">
        <f ca="1">VLOOKUP(RANDBETWEEN(1,8),TipoAccidente!A:C,3,0)</f>
        <v>Salida de vía</v>
      </c>
      <c r="F78" s="15" t="str">
        <f ca="1">VLOOKUP(RANDBETWEEN(1,8),TipoAutomovilResponsable!A:C,3,0)</f>
        <v>Tractocamión</v>
      </c>
      <c r="G78" s="13">
        <f t="shared" ca="1" si="1"/>
        <v>1</v>
      </c>
      <c r="H78" s="14">
        <v>2</v>
      </c>
      <c r="I78" s="25">
        <v>0</v>
      </c>
      <c r="J78" s="12" t="str">
        <f ca="1">VLOOKUP(RANDBETWEEN(1,6),TipoClima!A:C,3,0)</f>
        <v>Lluvia ligera</v>
      </c>
    </row>
    <row r="79" spans="1:10" ht="15.75" thickBot="1" x14ac:dyDescent="0.3">
      <c r="A79" s="8" t="s">
        <v>205</v>
      </c>
      <c r="B79" s="18">
        <v>46114</v>
      </c>
      <c r="C79" s="21">
        <v>0.25516772021764655</v>
      </c>
      <c r="D79" s="11" t="s">
        <v>287</v>
      </c>
      <c r="E79" s="11" t="e">
        <f ca="1">VLOOKUP(RANDBETWEEN(1,8),TipoAccidente!A:C,3,0)</f>
        <v>#N/A</v>
      </c>
      <c r="F79" s="11" t="str">
        <f ca="1">VLOOKUP(RANDBETWEEN(1,8),TipoAutomovilResponsable!A:C,3,0)</f>
        <v>Camioneta</v>
      </c>
      <c r="G79" s="9">
        <f t="shared" ca="1" si="1"/>
        <v>1</v>
      </c>
      <c r="H79" s="10">
        <v>5</v>
      </c>
      <c r="I79" s="26">
        <v>0</v>
      </c>
      <c r="J79" s="8" t="str">
        <f ca="1">VLOOKUP(RANDBETWEEN(1,6),TipoClima!A:C,3,0)</f>
        <v>Soleado</v>
      </c>
    </row>
    <row r="80" spans="1:10" ht="15.75" thickBot="1" x14ac:dyDescent="0.3">
      <c r="A80" s="12" t="s">
        <v>206</v>
      </c>
      <c r="B80" s="17">
        <v>46115</v>
      </c>
      <c r="C80" s="20">
        <v>0.3053226441656276</v>
      </c>
      <c r="D80" s="15" t="s">
        <v>272</v>
      </c>
      <c r="E80" s="15" t="e">
        <f ca="1">VLOOKUP(RANDBETWEEN(1,8),TipoAccidente!A:C,3,0)</f>
        <v>#N/A</v>
      </c>
      <c r="F80" s="15" t="str">
        <f ca="1">VLOOKUP(RANDBETWEEN(1,8),TipoAutomovilResponsable!A:C,3,0)</f>
        <v>Camioneta</v>
      </c>
      <c r="G80" s="13">
        <f t="shared" ca="1" si="1"/>
        <v>1</v>
      </c>
      <c r="H80" s="14">
        <v>5</v>
      </c>
      <c r="I80" s="25">
        <v>0</v>
      </c>
      <c r="J80" s="12" t="str">
        <f ca="1">VLOOKUP(RANDBETWEEN(1,6),TipoClima!A:C,3,0)</f>
        <v>Nublado</v>
      </c>
    </row>
    <row r="81" spans="1:10" ht="15.75" thickBot="1" x14ac:dyDescent="0.3">
      <c r="A81" s="8" t="s">
        <v>207</v>
      </c>
      <c r="B81" s="18">
        <v>46067</v>
      </c>
      <c r="C81" s="21">
        <v>0.88676838502246103</v>
      </c>
      <c r="D81" s="11" t="s">
        <v>70</v>
      </c>
      <c r="E81" s="11" t="e">
        <f ca="1">VLOOKUP(RANDBETWEEN(1,8),TipoAccidente!A:C,3,0)</f>
        <v>#N/A</v>
      </c>
      <c r="F81" s="11" t="str">
        <f ca="1">VLOOKUP(RANDBETWEEN(1,8),TipoAutomovilResponsable!A:C,3,0)</f>
        <v>Bicicleta</v>
      </c>
      <c r="G81" s="9">
        <f t="shared" ca="1" si="1"/>
        <v>1</v>
      </c>
      <c r="H81" s="10">
        <v>5</v>
      </c>
      <c r="I81" s="26">
        <v>0</v>
      </c>
      <c r="J81" s="8" t="str">
        <f ca="1">VLOOKUP(RANDBETWEEN(1,6),TipoClima!A:C,3,0)</f>
        <v>Soleado</v>
      </c>
    </row>
    <row r="82" spans="1:10" ht="15.75" thickBot="1" x14ac:dyDescent="0.3">
      <c r="A82" s="12" t="s">
        <v>208</v>
      </c>
      <c r="B82" s="17">
        <v>46129</v>
      </c>
      <c r="C82" s="20">
        <v>0.66648045955633939</v>
      </c>
      <c r="D82" s="15" t="s">
        <v>286</v>
      </c>
      <c r="E82" s="15" t="e">
        <f ca="1">VLOOKUP(RANDBETWEEN(1,8),TipoAccidente!A:C,3,0)</f>
        <v>#N/A</v>
      </c>
      <c r="F82" s="15" t="str">
        <f ca="1">VLOOKUP(RANDBETWEEN(1,8),TipoAutomovilResponsable!A:C,3,0)</f>
        <v>Camión</v>
      </c>
      <c r="G82" s="13">
        <f t="shared" ca="1" si="1"/>
        <v>3</v>
      </c>
      <c r="H82" s="14">
        <v>2</v>
      </c>
      <c r="I82" s="25">
        <v>1</v>
      </c>
      <c r="J82" s="12" t="str">
        <f ca="1">VLOOKUP(RANDBETWEEN(1,6),TipoClima!A:C,3,0)</f>
        <v>Lluvia ligera</v>
      </c>
    </row>
    <row r="83" spans="1:10" ht="15.75" thickBot="1" x14ac:dyDescent="0.3">
      <c r="A83" s="8" t="s">
        <v>209</v>
      </c>
      <c r="B83" s="18">
        <v>46076</v>
      </c>
      <c r="C83" s="21">
        <v>3.2958484501572793E-2</v>
      </c>
      <c r="D83" s="11" t="s">
        <v>261</v>
      </c>
      <c r="E83" s="11" t="str">
        <f ca="1">VLOOKUP(RANDBETWEEN(1,8),TipoAccidente!A:C,3,0)</f>
        <v>Colisión con objeto fijo</v>
      </c>
      <c r="F83" s="11" t="str">
        <f ca="1">VLOOKUP(RANDBETWEEN(1,8),TipoAutomovilResponsable!A:C,3,0)</f>
        <v>Taxi</v>
      </c>
      <c r="G83" s="9">
        <f t="shared" ca="1" si="1"/>
        <v>3</v>
      </c>
      <c r="H83" s="10">
        <v>3</v>
      </c>
      <c r="I83" s="26">
        <v>1</v>
      </c>
      <c r="J83" s="8" t="str">
        <f ca="1">VLOOKUP(RANDBETWEEN(1,6),TipoClima!A:C,3,0)</f>
        <v>Viento fuerte</v>
      </c>
    </row>
    <row r="84" spans="1:10" ht="15.75" thickBot="1" x14ac:dyDescent="0.3">
      <c r="A84" s="12" t="s">
        <v>210</v>
      </c>
      <c r="B84" s="17">
        <v>46066</v>
      </c>
      <c r="C84" s="20">
        <v>0.57620361798613551</v>
      </c>
      <c r="D84" s="15" t="s">
        <v>46</v>
      </c>
      <c r="E84" s="15" t="str">
        <f ca="1">VLOOKUP(RANDBETWEEN(1,8),TipoAccidente!A:C,3,0)</f>
        <v>Volcamiento</v>
      </c>
      <c r="F84" s="15" t="str">
        <f ca="1">VLOOKUP(RANDBETWEEN(1,8),TipoAutomovilResponsable!A:C,3,0)</f>
        <v>Tractocamión</v>
      </c>
      <c r="G84" s="13">
        <f t="shared" ca="1" si="1"/>
        <v>1</v>
      </c>
      <c r="H84" s="14">
        <v>1</v>
      </c>
      <c r="I84" s="25">
        <v>2</v>
      </c>
      <c r="J84" s="12" t="str">
        <f ca="1">VLOOKUP(RANDBETWEEN(1,6),TipoClima!A:C,3,0)</f>
        <v>Neblina</v>
      </c>
    </row>
    <row r="85" spans="1:10" ht="15.75" thickBot="1" x14ac:dyDescent="0.3">
      <c r="A85" s="8" t="s">
        <v>211</v>
      </c>
      <c r="B85" s="18">
        <v>46139</v>
      </c>
      <c r="C85" s="21">
        <v>0.41342304342085001</v>
      </c>
      <c r="D85" s="11" t="s">
        <v>28</v>
      </c>
      <c r="E85" s="11" t="e">
        <f ca="1">VLOOKUP(RANDBETWEEN(1,8),TipoAccidente!A:C,3,0)</f>
        <v>#N/A</v>
      </c>
      <c r="F85" s="11" t="str">
        <f ca="1">VLOOKUP(RANDBETWEEN(1,8),TipoAutomovilResponsable!A:C,3,0)</f>
        <v>Camioneta</v>
      </c>
      <c r="G85" s="9">
        <f t="shared" ca="1" si="1"/>
        <v>3</v>
      </c>
      <c r="H85" s="10">
        <v>2</v>
      </c>
      <c r="I85" s="26">
        <v>0</v>
      </c>
      <c r="J85" s="8" t="str">
        <f ca="1">VLOOKUP(RANDBETWEEN(1,6),TipoClima!A:C,3,0)</f>
        <v>Soleado</v>
      </c>
    </row>
    <row r="86" spans="1:10" ht="15.75" thickBot="1" x14ac:dyDescent="0.3">
      <c r="A86" s="12" t="s">
        <v>212</v>
      </c>
      <c r="B86" s="17">
        <v>46106</v>
      </c>
      <c r="C86" s="20">
        <v>0.96618173224819681</v>
      </c>
      <c r="D86" s="15" t="s">
        <v>256</v>
      </c>
      <c r="E86" s="15" t="str">
        <f ca="1">VLOOKUP(RANDBETWEEN(1,8),TipoAccidente!A:C,3,0)</f>
        <v>Volcamiento</v>
      </c>
      <c r="F86" s="15" t="str">
        <f ca="1">VLOOKUP(RANDBETWEEN(1,8),TipoAutomovilResponsable!A:C,3,0)</f>
        <v>Tractocamión</v>
      </c>
      <c r="G86" s="13">
        <f t="shared" ca="1" si="1"/>
        <v>3</v>
      </c>
      <c r="H86" s="14">
        <v>2</v>
      </c>
      <c r="I86" s="25">
        <v>0</v>
      </c>
      <c r="J86" s="12" t="str">
        <f ca="1">VLOOKUP(RANDBETWEEN(1,6),TipoClima!A:C,3,0)</f>
        <v>Viento fuerte</v>
      </c>
    </row>
    <row r="87" spans="1:10" ht="15.75" thickBot="1" x14ac:dyDescent="0.3">
      <c r="A87" s="8" t="s">
        <v>213</v>
      </c>
      <c r="B87" s="18">
        <v>46225</v>
      </c>
      <c r="C87" s="21">
        <v>9.0956919298882943E-2</v>
      </c>
      <c r="D87" s="11" t="s">
        <v>281</v>
      </c>
      <c r="E87" s="11" t="str">
        <f ca="1">VLOOKUP(RANDBETWEEN(1,8),TipoAccidente!A:C,3,0)</f>
        <v>Volcamiento</v>
      </c>
      <c r="F87" s="11" t="str">
        <f ca="1">VLOOKUP(RANDBETWEEN(1,8),TipoAutomovilResponsable!A:C,3,0)</f>
        <v>Bus</v>
      </c>
      <c r="G87" s="9">
        <f t="shared" ca="1" si="1"/>
        <v>3</v>
      </c>
      <c r="H87" s="10">
        <v>5</v>
      </c>
      <c r="I87" s="26">
        <v>0</v>
      </c>
      <c r="J87" s="8" t="str">
        <f ca="1">VLOOKUP(RANDBETWEEN(1,6),TipoClima!A:C,3,0)</f>
        <v>Nublado</v>
      </c>
    </row>
    <row r="88" spans="1:10" ht="15.75" thickBot="1" x14ac:dyDescent="0.3">
      <c r="A88" s="12" t="s">
        <v>214</v>
      </c>
      <c r="B88" s="17">
        <v>46068</v>
      </c>
      <c r="C88" s="20">
        <v>0.84148584172832297</v>
      </c>
      <c r="D88" s="15" t="s">
        <v>273</v>
      </c>
      <c r="E88" s="15" t="str">
        <f ca="1">VLOOKUP(RANDBETWEEN(1,8),TipoAccidente!A:C,3,0)</f>
        <v>Colisión con objeto fijo</v>
      </c>
      <c r="F88" s="15" t="str">
        <f ca="1">VLOOKUP(RANDBETWEEN(1,8),TipoAutomovilResponsable!A:C,3,0)</f>
        <v>Motocicleta</v>
      </c>
      <c r="G88" s="13">
        <f t="shared" ca="1" si="1"/>
        <v>1</v>
      </c>
      <c r="H88" s="14">
        <v>4</v>
      </c>
      <c r="I88" s="25">
        <v>0</v>
      </c>
      <c r="J88" s="12" t="str">
        <f ca="1">VLOOKUP(RANDBETWEEN(1,6),TipoClima!A:C,3,0)</f>
        <v>Neblina</v>
      </c>
    </row>
    <row r="89" spans="1:10" ht="15.75" thickBot="1" x14ac:dyDescent="0.3">
      <c r="A89" s="8" t="s">
        <v>215</v>
      </c>
      <c r="B89" s="18">
        <v>46173</v>
      </c>
      <c r="C89" s="21">
        <v>0.4709697097263299</v>
      </c>
      <c r="D89" s="11" t="s">
        <v>104</v>
      </c>
      <c r="E89" s="11" t="e">
        <f ca="1">VLOOKUP(RANDBETWEEN(1,8),TipoAccidente!A:C,3,0)</f>
        <v>#N/A</v>
      </c>
      <c r="F89" s="11" t="str">
        <f ca="1">VLOOKUP(RANDBETWEEN(1,8),TipoAutomovilResponsable!A:C,3,0)</f>
        <v>Camión</v>
      </c>
      <c r="G89" s="9">
        <f t="shared" ca="1" si="1"/>
        <v>2</v>
      </c>
      <c r="H89" s="10">
        <v>5</v>
      </c>
      <c r="I89" s="26">
        <v>2</v>
      </c>
      <c r="J89" s="8" t="str">
        <f ca="1">VLOOKUP(RANDBETWEEN(1,6),TipoClima!A:C,3,0)</f>
        <v>Viento fuerte</v>
      </c>
    </row>
    <row r="90" spans="1:10" ht="15.75" thickBot="1" x14ac:dyDescent="0.3">
      <c r="A90" s="12" t="s">
        <v>216</v>
      </c>
      <c r="B90" s="17">
        <v>46188</v>
      </c>
      <c r="C90" s="20">
        <v>0.5887136820862473</v>
      </c>
      <c r="D90" s="15" t="s">
        <v>286</v>
      </c>
      <c r="E90" s="15" t="e">
        <f ca="1">VLOOKUP(RANDBETWEEN(1,8),TipoAccidente!A:C,3,0)</f>
        <v>#N/A</v>
      </c>
      <c r="F90" s="15" t="str">
        <f ca="1">VLOOKUP(RANDBETWEEN(1,8),TipoAutomovilResponsable!A:C,3,0)</f>
        <v>Motocicleta</v>
      </c>
      <c r="G90" s="13">
        <f t="shared" ca="1" si="1"/>
        <v>2</v>
      </c>
      <c r="H90" s="14">
        <v>5</v>
      </c>
      <c r="I90" s="25">
        <v>2</v>
      </c>
      <c r="J90" s="12" t="str">
        <f ca="1">VLOOKUP(RANDBETWEEN(1,6),TipoClima!A:C,3,0)</f>
        <v>Nublado</v>
      </c>
    </row>
    <row r="91" spans="1:10" ht="15.75" thickBot="1" x14ac:dyDescent="0.3">
      <c r="A91" s="8" t="s">
        <v>217</v>
      </c>
      <c r="B91" s="18">
        <v>46203</v>
      </c>
      <c r="C91" s="21">
        <v>0.57928384477809447</v>
      </c>
      <c r="D91" s="11" t="s">
        <v>90</v>
      </c>
      <c r="E91" s="11" t="str">
        <f ca="1">VLOOKUP(RANDBETWEEN(1,8),TipoAccidente!A:C,3,0)</f>
        <v>Salida de vía</v>
      </c>
      <c r="F91" s="11" t="str">
        <f ca="1">VLOOKUP(RANDBETWEEN(1,8),TipoAutomovilResponsable!A:C,3,0)</f>
        <v>Camioneta</v>
      </c>
      <c r="G91" s="9">
        <f t="shared" ca="1" si="1"/>
        <v>2</v>
      </c>
      <c r="H91" s="10">
        <v>1</v>
      </c>
      <c r="I91" s="26">
        <v>0</v>
      </c>
      <c r="J91" s="8" t="str">
        <f ca="1">VLOOKUP(RANDBETWEEN(1,6),TipoClima!A:C,3,0)</f>
        <v>Lluvia intensa</v>
      </c>
    </row>
    <row r="92" spans="1:10" ht="15.75" thickBot="1" x14ac:dyDescent="0.3">
      <c r="A92" s="12" t="s">
        <v>218</v>
      </c>
      <c r="B92" s="17">
        <v>46135</v>
      </c>
      <c r="C92" s="20">
        <v>0.34794457374732657</v>
      </c>
      <c r="D92" s="15" t="s">
        <v>96</v>
      </c>
      <c r="E92" s="15" t="str">
        <f ca="1">VLOOKUP(RANDBETWEEN(1,8),TipoAccidente!A:C,3,0)</f>
        <v>Colisión con objeto fijo</v>
      </c>
      <c r="F92" s="15" t="str">
        <f ca="1">VLOOKUP(RANDBETWEEN(1,8),TipoAutomovilResponsable!A:C,3,0)</f>
        <v>Camión</v>
      </c>
      <c r="G92" s="13">
        <f t="shared" ca="1" si="1"/>
        <v>2</v>
      </c>
      <c r="H92" s="14">
        <v>3</v>
      </c>
      <c r="I92" s="25">
        <v>0</v>
      </c>
      <c r="J92" s="12" t="str">
        <f ca="1">VLOOKUP(RANDBETWEEN(1,6),TipoClima!A:C,3,0)</f>
        <v>Neblina</v>
      </c>
    </row>
    <row r="93" spans="1:10" ht="15.75" thickBot="1" x14ac:dyDescent="0.3">
      <c r="A93" s="8" t="s">
        <v>219</v>
      </c>
      <c r="B93" s="18">
        <v>46039</v>
      </c>
      <c r="C93" s="21">
        <v>9.0603967327833601E-2</v>
      </c>
      <c r="D93" s="11" t="s">
        <v>72</v>
      </c>
      <c r="E93" s="11" t="str">
        <f ca="1">VLOOKUP(RANDBETWEEN(1,8),TipoAccidente!A:C,3,0)</f>
        <v>Volcamiento</v>
      </c>
      <c r="F93" s="11" t="str">
        <f ca="1">VLOOKUP(RANDBETWEEN(1,8),TipoAutomovilResponsable!A:C,3,0)</f>
        <v>Automóvil</v>
      </c>
      <c r="G93" s="9">
        <f t="shared" ca="1" si="1"/>
        <v>1</v>
      </c>
      <c r="H93" s="10">
        <v>4</v>
      </c>
      <c r="I93" s="26">
        <v>1</v>
      </c>
      <c r="J93" s="8" t="str">
        <f ca="1">VLOOKUP(RANDBETWEEN(1,6),TipoClima!A:C,3,0)</f>
        <v>Lluvia intensa</v>
      </c>
    </row>
    <row r="94" spans="1:10" ht="15.75" thickBot="1" x14ac:dyDescent="0.3">
      <c r="A94" s="12" t="s">
        <v>220</v>
      </c>
      <c r="B94" s="17">
        <v>46030</v>
      </c>
      <c r="C94" s="20">
        <v>0.52308989000682482</v>
      </c>
      <c r="D94" s="15" t="s">
        <v>26</v>
      </c>
      <c r="E94" s="15" t="e">
        <f ca="1">VLOOKUP(RANDBETWEEN(1,8),TipoAccidente!A:C,3,0)</f>
        <v>#N/A</v>
      </c>
      <c r="F94" s="15" t="str">
        <f ca="1">VLOOKUP(RANDBETWEEN(1,8),TipoAutomovilResponsable!A:C,3,0)</f>
        <v>Bicicleta</v>
      </c>
      <c r="G94" s="13">
        <f t="shared" ca="1" si="1"/>
        <v>1</v>
      </c>
      <c r="H94" s="14">
        <v>2</v>
      </c>
      <c r="I94" s="25">
        <v>2</v>
      </c>
      <c r="J94" s="12" t="str">
        <f ca="1">VLOOKUP(RANDBETWEEN(1,6),TipoClima!A:C,3,0)</f>
        <v>Nublado</v>
      </c>
    </row>
    <row r="95" spans="1:10" ht="15.75" thickBot="1" x14ac:dyDescent="0.3">
      <c r="A95" s="8" t="s">
        <v>221</v>
      </c>
      <c r="B95" s="18">
        <v>46223</v>
      </c>
      <c r="C95" s="21">
        <v>0.87598267054676704</v>
      </c>
      <c r="D95" s="11" t="s">
        <v>42</v>
      </c>
      <c r="E95" s="11" t="e">
        <f ca="1">VLOOKUP(RANDBETWEEN(1,8),TipoAccidente!A:C,3,0)</f>
        <v>#N/A</v>
      </c>
      <c r="F95" s="11" t="str">
        <f ca="1">VLOOKUP(RANDBETWEEN(1,8),TipoAutomovilResponsable!A:C,3,0)</f>
        <v>Camión</v>
      </c>
      <c r="G95" s="9">
        <f t="shared" ca="1" si="1"/>
        <v>2</v>
      </c>
      <c r="H95" s="10">
        <v>5</v>
      </c>
      <c r="I95" s="26">
        <v>1</v>
      </c>
      <c r="J95" s="8" t="str">
        <f ca="1">VLOOKUP(RANDBETWEEN(1,6),TipoClima!A:C,3,0)</f>
        <v>Lluvia ligera</v>
      </c>
    </row>
    <row r="96" spans="1:10" ht="15.75" thickBot="1" x14ac:dyDescent="0.3">
      <c r="A96" s="12" t="s">
        <v>222</v>
      </c>
      <c r="B96" s="17">
        <v>46131</v>
      </c>
      <c r="C96" s="20">
        <v>0.70795828374249747</v>
      </c>
      <c r="D96" s="15" t="s">
        <v>273</v>
      </c>
      <c r="E96" s="15" t="e">
        <f ca="1">VLOOKUP(RANDBETWEEN(1,8),TipoAccidente!A:C,3,0)</f>
        <v>#N/A</v>
      </c>
      <c r="F96" s="15" t="str">
        <f ca="1">VLOOKUP(RANDBETWEEN(1,8),TipoAutomovilResponsable!A:C,3,0)</f>
        <v>Camioneta</v>
      </c>
      <c r="G96" s="13">
        <f t="shared" ca="1" si="1"/>
        <v>1</v>
      </c>
      <c r="H96" s="14">
        <v>2</v>
      </c>
      <c r="I96" s="25">
        <v>1</v>
      </c>
      <c r="J96" s="12" t="str">
        <f ca="1">VLOOKUP(RANDBETWEEN(1,6),TipoClima!A:C,3,0)</f>
        <v>Nublado</v>
      </c>
    </row>
    <row r="97" spans="1:10" ht="15.75" thickBot="1" x14ac:dyDescent="0.3">
      <c r="A97" s="8" t="s">
        <v>223</v>
      </c>
      <c r="B97" s="18">
        <v>46052</v>
      </c>
      <c r="C97" s="21">
        <v>0.27927297569863119</v>
      </c>
      <c r="D97" s="11" t="s">
        <v>40</v>
      </c>
      <c r="E97" s="11" t="e">
        <f ca="1">VLOOKUP(RANDBETWEEN(1,8),TipoAccidente!A:C,3,0)</f>
        <v>#N/A</v>
      </c>
      <c r="F97" s="11" t="str">
        <f ca="1">VLOOKUP(RANDBETWEEN(1,8),TipoAutomovilResponsable!A:C,3,0)</f>
        <v>Bus</v>
      </c>
      <c r="G97" s="9">
        <f t="shared" ca="1" si="1"/>
        <v>1</v>
      </c>
      <c r="H97" s="10">
        <v>2</v>
      </c>
      <c r="I97" s="26">
        <v>1</v>
      </c>
      <c r="J97" s="8" t="str">
        <f ca="1">VLOOKUP(RANDBETWEEN(1,6),TipoClima!A:C,3,0)</f>
        <v>Neblina</v>
      </c>
    </row>
    <row r="98" spans="1:10" ht="15.75" thickBot="1" x14ac:dyDescent="0.3">
      <c r="A98" s="12" t="s">
        <v>224</v>
      </c>
      <c r="B98" s="17">
        <v>46049</v>
      </c>
      <c r="C98" s="20">
        <v>0.54322395091142328</v>
      </c>
      <c r="D98" s="15" t="s">
        <v>22</v>
      </c>
      <c r="E98" s="15" t="str">
        <f ca="1">VLOOKUP(RANDBETWEEN(1,8),TipoAccidente!A:C,3,0)</f>
        <v>Volcamiento</v>
      </c>
      <c r="F98" s="15" t="str">
        <f ca="1">VLOOKUP(RANDBETWEEN(1,8),TipoAutomovilResponsable!A:C,3,0)</f>
        <v>Bicicleta</v>
      </c>
      <c r="G98" s="13">
        <f t="shared" ca="1" si="1"/>
        <v>2</v>
      </c>
      <c r="H98" s="14">
        <v>3</v>
      </c>
      <c r="I98" s="25">
        <v>1</v>
      </c>
      <c r="J98" s="12" t="str">
        <f ca="1">VLOOKUP(RANDBETWEEN(1,6),TipoClima!A:C,3,0)</f>
        <v>Lluvia ligera</v>
      </c>
    </row>
    <row r="99" spans="1:10" ht="15.75" thickBot="1" x14ac:dyDescent="0.3">
      <c r="A99" s="8" t="s">
        <v>225</v>
      </c>
      <c r="B99" s="18">
        <v>46215</v>
      </c>
      <c r="C99" s="21">
        <v>0.92242125116432083</v>
      </c>
      <c r="D99" s="11" t="s">
        <v>256</v>
      </c>
      <c r="E99" s="11" t="str">
        <f ca="1">VLOOKUP(RANDBETWEEN(1,8),TipoAccidente!A:C,3,0)</f>
        <v>Salida de vía</v>
      </c>
      <c r="F99" s="11" t="str">
        <f ca="1">VLOOKUP(RANDBETWEEN(1,8),TipoAutomovilResponsable!A:C,3,0)</f>
        <v>Motocicleta</v>
      </c>
      <c r="G99" s="9">
        <f t="shared" ca="1" si="1"/>
        <v>3</v>
      </c>
      <c r="H99" s="10">
        <v>1</v>
      </c>
      <c r="I99" s="26">
        <v>1</v>
      </c>
      <c r="J99" s="8" t="str">
        <f ca="1">VLOOKUP(RANDBETWEEN(1,6),TipoClima!A:C,3,0)</f>
        <v>Viento fuerte</v>
      </c>
    </row>
    <row r="100" spans="1:10" ht="15.75" thickBot="1" x14ac:dyDescent="0.3">
      <c r="A100" s="12" t="s">
        <v>226</v>
      </c>
      <c r="B100" s="17">
        <v>46092</v>
      </c>
      <c r="C100" s="20">
        <v>0.10576697948100877</v>
      </c>
      <c r="D100" s="15" t="s">
        <v>48</v>
      </c>
      <c r="E100" s="15" t="e">
        <f ca="1">VLOOKUP(RANDBETWEEN(1,8),TipoAccidente!A:C,3,0)</f>
        <v>#N/A</v>
      </c>
      <c r="F100" s="15" t="str">
        <f ca="1">VLOOKUP(RANDBETWEEN(1,8),TipoAutomovilResponsable!A:C,3,0)</f>
        <v>Camioneta</v>
      </c>
      <c r="G100" s="13">
        <f t="shared" ca="1" si="1"/>
        <v>1</v>
      </c>
      <c r="H100" s="14">
        <v>2</v>
      </c>
      <c r="I100" s="25">
        <v>1</v>
      </c>
      <c r="J100" s="12" t="str">
        <f ca="1">VLOOKUP(RANDBETWEEN(1,6),TipoClima!A:C,3,0)</f>
        <v>Lluvia ligera</v>
      </c>
    </row>
    <row r="101" spans="1:10" ht="15.75" thickBot="1" x14ac:dyDescent="0.3">
      <c r="A101" s="8" t="s">
        <v>227</v>
      </c>
      <c r="B101" s="18">
        <v>46081</v>
      </c>
      <c r="C101" s="21">
        <v>0.18486036189889732</v>
      </c>
      <c r="D101" s="11" t="s">
        <v>260</v>
      </c>
      <c r="E101" s="11" t="str">
        <f ca="1">VLOOKUP(RANDBETWEEN(1,8),TipoAccidente!A:C,3,0)</f>
        <v>Colisión con objeto fijo</v>
      </c>
      <c r="F101" s="11" t="str">
        <f ca="1">VLOOKUP(RANDBETWEEN(1,8),TipoAutomovilResponsable!A:C,3,0)</f>
        <v>Bus</v>
      </c>
      <c r="G101" s="9">
        <f t="shared" ca="1" si="1"/>
        <v>2</v>
      </c>
      <c r="H101" s="10">
        <v>3</v>
      </c>
      <c r="I101" s="26">
        <v>2</v>
      </c>
      <c r="J101" s="8" t="str">
        <f ca="1">VLOOKUP(RANDBETWEEN(1,6),TipoClima!A:C,3,0)</f>
        <v>Lluvia ligera</v>
      </c>
    </row>
    <row r="102" spans="1:10" ht="15.75" thickBot="1" x14ac:dyDescent="0.3">
      <c r="A102" s="12" t="s">
        <v>338</v>
      </c>
      <c r="B102" s="17">
        <v>46024</v>
      </c>
      <c r="C102" s="20">
        <v>0.45999955453632801</v>
      </c>
      <c r="D102" s="15" t="s">
        <v>260</v>
      </c>
      <c r="E102" s="15" t="e">
        <f ca="1">VLOOKUP(RANDBETWEEN(1,8),TipoAccidente!A:C,3,0)</f>
        <v>#N/A</v>
      </c>
      <c r="F102" s="15" t="str">
        <f ca="1">VLOOKUP(RANDBETWEEN(1,8),TipoAutomovilResponsable!A:C,3,0)</f>
        <v>Bicicleta</v>
      </c>
      <c r="G102" s="13">
        <f t="shared" ca="1" si="1"/>
        <v>1</v>
      </c>
      <c r="H102" s="14">
        <v>2</v>
      </c>
      <c r="I102" s="25">
        <v>2</v>
      </c>
      <c r="J102" s="12" t="str">
        <f ca="1">VLOOKUP(RANDBETWEEN(1,6),TipoClima!A:C,3,0)</f>
        <v>Neblina</v>
      </c>
    </row>
    <row r="103" spans="1:10" ht="15.75" thickBot="1" x14ac:dyDescent="0.3">
      <c r="A103" s="8" t="s">
        <v>339</v>
      </c>
      <c r="B103" s="18">
        <v>46078</v>
      </c>
      <c r="C103" s="21">
        <v>0.70281039164760317</v>
      </c>
      <c r="D103" s="11" t="s">
        <v>285</v>
      </c>
      <c r="E103" s="11" t="str">
        <f ca="1">VLOOKUP(RANDBETWEEN(1,8),TipoAccidente!A:C,3,0)</f>
        <v>Salida de vía</v>
      </c>
      <c r="F103" s="11" t="str">
        <f ca="1">VLOOKUP(RANDBETWEEN(1,8),TipoAutomovilResponsable!A:C,3,0)</f>
        <v>Taxi</v>
      </c>
      <c r="G103" s="9">
        <f t="shared" ca="1" si="1"/>
        <v>1</v>
      </c>
      <c r="H103" s="10">
        <v>1</v>
      </c>
      <c r="I103" s="26">
        <v>2</v>
      </c>
      <c r="J103" s="8" t="str">
        <f ca="1">VLOOKUP(RANDBETWEEN(1,6),TipoClima!A:C,3,0)</f>
        <v>Soleado</v>
      </c>
    </row>
    <row r="104" spans="1:10" ht="15.75" thickBot="1" x14ac:dyDescent="0.3">
      <c r="A104" s="12" t="s">
        <v>340</v>
      </c>
      <c r="B104" s="17">
        <v>46163</v>
      </c>
      <c r="C104" s="20">
        <v>0.96774786816530212</v>
      </c>
      <c r="D104" s="15" t="s">
        <v>238</v>
      </c>
      <c r="E104" s="15" t="str">
        <f ca="1">VLOOKUP(RANDBETWEEN(1,8),TipoAccidente!A:C,3,0)</f>
        <v>Atropello</v>
      </c>
      <c r="F104" s="15" t="str">
        <f ca="1">VLOOKUP(RANDBETWEEN(1,8),TipoAutomovilResponsable!A:C,3,0)</f>
        <v>Automóvil</v>
      </c>
      <c r="G104" s="13">
        <f t="shared" ca="1" si="1"/>
        <v>1</v>
      </c>
      <c r="H104" s="14">
        <v>2</v>
      </c>
      <c r="I104" s="25">
        <v>2</v>
      </c>
      <c r="J104" s="12" t="str">
        <f ca="1">VLOOKUP(RANDBETWEEN(1,6),TipoClima!A:C,3,0)</f>
        <v>Viento fuerte</v>
      </c>
    </row>
    <row r="105" spans="1:10" ht="15.75" thickBot="1" x14ac:dyDescent="0.3">
      <c r="A105" s="8" t="s">
        <v>341</v>
      </c>
      <c r="B105" s="18">
        <v>46102</v>
      </c>
      <c r="C105" s="21">
        <v>0.12067016552625298</v>
      </c>
      <c r="D105" s="11" t="s">
        <v>273</v>
      </c>
      <c r="E105" s="11" t="str">
        <f ca="1">VLOOKUP(RANDBETWEEN(1,8),TipoAccidente!A:C,3,0)</f>
        <v>Atropello</v>
      </c>
      <c r="F105" s="11" t="str">
        <f ca="1">VLOOKUP(RANDBETWEEN(1,8),TipoAutomovilResponsable!A:C,3,0)</f>
        <v>Camioneta</v>
      </c>
      <c r="G105" s="9">
        <f t="shared" ca="1" si="1"/>
        <v>2</v>
      </c>
      <c r="H105" s="10">
        <v>5</v>
      </c>
      <c r="I105" s="26">
        <v>0</v>
      </c>
      <c r="J105" s="8" t="str">
        <f ca="1">VLOOKUP(RANDBETWEEN(1,6),TipoClima!A:C,3,0)</f>
        <v>Lluvia ligera</v>
      </c>
    </row>
    <row r="106" spans="1:10" ht="15.75" thickBot="1" x14ac:dyDescent="0.3">
      <c r="A106" s="12" t="s">
        <v>342</v>
      </c>
      <c r="B106" s="17">
        <v>46048</v>
      </c>
      <c r="C106" s="20">
        <v>0.8542889380633254</v>
      </c>
      <c r="D106" s="15" t="s">
        <v>286</v>
      </c>
      <c r="E106" s="15" t="e">
        <f ca="1">VLOOKUP(RANDBETWEEN(1,8),TipoAccidente!A:C,3,0)</f>
        <v>#N/A</v>
      </c>
      <c r="F106" s="15" t="str">
        <f ca="1">VLOOKUP(RANDBETWEEN(1,8),TipoAutomovilResponsable!A:C,3,0)</f>
        <v>Taxi</v>
      </c>
      <c r="G106" s="13">
        <f t="shared" ca="1" si="1"/>
        <v>2</v>
      </c>
      <c r="H106" s="14">
        <v>4</v>
      </c>
      <c r="I106" s="25">
        <v>1</v>
      </c>
      <c r="J106" s="12" t="str">
        <f ca="1">VLOOKUP(RANDBETWEEN(1,6),TipoClima!A:C,3,0)</f>
        <v>Nublado</v>
      </c>
    </row>
    <row r="107" spans="1:10" ht="15.75" thickBot="1" x14ac:dyDescent="0.3">
      <c r="A107" s="8" t="s">
        <v>343</v>
      </c>
      <c r="B107" s="18">
        <v>46201</v>
      </c>
      <c r="C107" s="21">
        <v>0.50365594416926318</v>
      </c>
      <c r="D107" s="11" t="s">
        <v>104</v>
      </c>
      <c r="E107" s="11" t="str">
        <f ca="1">VLOOKUP(RANDBETWEEN(1,8),TipoAccidente!A:C,3,0)</f>
        <v>Choque entre vehículos</v>
      </c>
      <c r="F107" s="11" t="str">
        <f ca="1">VLOOKUP(RANDBETWEEN(1,8),TipoAutomovilResponsable!A:C,3,0)</f>
        <v>Tractocamión</v>
      </c>
      <c r="G107" s="9">
        <f t="shared" ca="1" si="1"/>
        <v>2</v>
      </c>
      <c r="H107" s="10">
        <v>3</v>
      </c>
      <c r="I107" s="26">
        <v>2</v>
      </c>
      <c r="J107" s="8" t="str">
        <f ca="1">VLOOKUP(RANDBETWEEN(1,6),TipoClima!A:C,3,0)</f>
        <v>Viento fuerte</v>
      </c>
    </row>
    <row r="108" spans="1:10" ht="15.75" thickBot="1" x14ac:dyDescent="0.3">
      <c r="A108" s="12" t="s">
        <v>344</v>
      </c>
      <c r="B108" s="17">
        <v>46188</v>
      </c>
      <c r="C108" s="20">
        <v>0.53633161022806497</v>
      </c>
      <c r="D108" s="15" t="s">
        <v>60</v>
      </c>
      <c r="E108" s="15" t="str">
        <f ca="1">VLOOKUP(RANDBETWEEN(1,8),TipoAccidente!A:C,3,0)</f>
        <v>Choque entre vehículos</v>
      </c>
      <c r="F108" s="15" t="str">
        <f ca="1">VLOOKUP(RANDBETWEEN(1,8),TipoAutomovilResponsable!A:C,3,0)</f>
        <v>Automóvil</v>
      </c>
      <c r="G108" s="13">
        <f t="shared" ca="1" si="1"/>
        <v>1</v>
      </c>
      <c r="H108" s="14">
        <v>4</v>
      </c>
      <c r="I108" s="25">
        <v>2</v>
      </c>
      <c r="J108" s="12" t="str">
        <f ca="1">VLOOKUP(RANDBETWEEN(1,6),TipoClima!A:C,3,0)</f>
        <v>Neblina</v>
      </c>
    </row>
    <row r="109" spans="1:10" ht="15.75" thickBot="1" x14ac:dyDescent="0.3">
      <c r="A109" s="8" t="s">
        <v>345</v>
      </c>
      <c r="B109" s="18">
        <v>46152</v>
      </c>
      <c r="C109" s="21">
        <v>0.96227333517850078</v>
      </c>
      <c r="D109" s="11" t="s">
        <v>66</v>
      </c>
      <c r="E109" s="11" t="str">
        <f ca="1">VLOOKUP(RANDBETWEEN(1,8),TipoAccidente!A:C,3,0)</f>
        <v>Choque entre vehículos</v>
      </c>
      <c r="F109" s="11" t="str">
        <f ca="1">VLOOKUP(RANDBETWEEN(1,8),TipoAutomovilResponsable!A:C,3,0)</f>
        <v>Taxi</v>
      </c>
      <c r="G109" s="9">
        <f t="shared" ca="1" si="1"/>
        <v>2</v>
      </c>
      <c r="H109" s="10">
        <v>2</v>
      </c>
      <c r="I109" s="26">
        <v>2</v>
      </c>
      <c r="J109" s="8" t="str">
        <f ca="1">VLOOKUP(RANDBETWEEN(1,6),TipoClima!A:C,3,0)</f>
        <v>Neblina</v>
      </c>
    </row>
    <row r="110" spans="1:10" ht="15.75" thickBot="1" x14ac:dyDescent="0.3">
      <c r="A110" s="12" t="s">
        <v>346</v>
      </c>
      <c r="B110" s="17">
        <v>46126</v>
      </c>
      <c r="C110" s="20">
        <v>0.40844807940229988</v>
      </c>
      <c r="D110" s="15" t="s">
        <v>239</v>
      </c>
      <c r="E110" s="15" t="e">
        <f ca="1">VLOOKUP(RANDBETWEEN(1,8),TipoAccidente!A:C,3,0)</f>
        <v>#N/A</v>
      </c>
      <c r="F110" s="15" t="str">
        <f ca="1">VLOOKUP(RANDBETWEEN(1,8),TipoAutomovilResponsable!A:C,3,0)</f>
        <v>Motocicleta</v>
      </c>
      <c r="G110" s="13">
        <f t="shared" ca="1" si="1"/>
        <v>3</v>
      </c>
      <c r="H110" s="14">
        <v>2</v>
      </c>
      <c r="I110" s="25">
        <v>1</v>
      </c>
      <c r="J110" s="12" t="str">
        <f ca="1">VLOOKUP(RANDBETWEEN(1,6),TipoClima!A:C,3,0)</f>
        <v>Lluvia ligera</v>
      </c>
    </row>
    <row r="111" spans="1:10" ht="15.75" thickBot="1" x14ac:dyDescent="0.3">
      <c r="A111" s="8" t="s">
        <v>347</v>
      </c>
      <c r="B111" s="18">
        <v>46122</v>
      </c>
      <c r="C111" s="21">
        <v>0.99626869145658947</v>
      </c>
      <c r="D111" s="11" t="s">
        <v>242</v>
      </c>
      <c r="E111" s="11" t="str">
        <f ca="1">VLOOKUP(RANDBETWEEN(1,8),TipoAccidente!A:C,3,0)</f>
        <v>Choque entre vehículos</v>
      </c>
      <c r="F111" s="11" t="str">
        <f ca="1">VLOOKUP(RANDBETWEEN(1,8),TipoAutomovilResponsable!A:C,3,0)</f>
        <v>Camioneta</v>
      </c>
      <c r="G111" s="9">
        <f t="shared" ca="1" si="1"/>
        <v>1</v>
      </c>
      <c r="H111" s="10">
        <v>3</v>
      </c>
      <c r="I111" s="26">
        <v>2</v>
      </c>
      <c r="J111" s="8" t="str">
        <f ca="1">VLOOKUP(RANDBETWEEN(1,6),TipoClima!A:C,3,0)</f>
        <v>Lluvia intensa</v>
      </c>
    </row>
    <row r="112" spans="1:10" ht="15.75" thickBot="1" x14ac:dyDescent="0.3">
      <c r="A112" s="12" t="s">
        <v>348</v>
      </c>
      <c r="B112" s="17">
        <v>46025</v>
      </c>
      <c r="C112" s="20">
        <v>0.57287294443310366</v>
      </c>
      <c r="D112" s="15" t="s">
        <v>42</v>
      </c>
      <c r="E112" s="15" t="e">
        <f ca="1">VLOOKUP(RANDBETWEEN(1,8),TipoAccidente!A:C,3,0)</f>
        <v>#N/A</v>
      </c>
      <c r="F112" s="15" t="str">
        <f ca="1">VLOOKUP(RANDBETWEEN(1,8),TipoAutomovilResponsable!A:C,3,0)</f>
        <v>Camión</v>
      </c>
      <c r="G112" s="13">
        <f t="shared" ca="1" si="1"/>
        <v>1</v>
      </c>
      <c r="H112" s="14">
        <v>1</v>
      </c>
      <c r="I112" s="25">
        <v>0</v>
      </c>
      <c r="J112" s="12" t="str">
        <f ca="1">VLOOKUP(RANDBETWEEN(1,6),TipoClima!A:C,3,0)</f>
        <v>Lluvia intensa</v>
      </c>
    </row>
    <row r="113" spans="1:10" ht="15.75" thickBot="1" x14ac:dyDescent="0.3">
      <c r="A113" s="8" t="s">
        <v>349</v>
      </c>
      <c r="B113" s="18">
        <v>46206</v>
      </c>
      <c r="C113" s="21">
        <v>0.99379448915226876</v>
      </c>
      <c r="D113" s="11" t="s">
        <v>254</v>
      </c>
      <c r="E113" s="11" t="str">
        <f ca="1">VLOOKUP(RANDBETWEEN(1,8),TipoAccidente!A:C,3,0)</f>
        <v>Volcamiento</v>
      </c>
      <c r="F113" s="11" t="str">
        <f ca="1">VLOOKUP(RANDBETWEEN(1,8),TipoAutomovilResponsable!A:C,3,0)</f>
        <v>Camioneta</v>
      </c>
      <c r="G113" s="9">
        <f t="shared" ca="1" si="1"/>
        <v>2</v>
      </c>
      <c r="H113" s="10">
        <v>4</v>
      </c>
      <c r="I113" s="26">
        <v>0</v>
      </c>
      <c r="J113" s="8" t="str">
        <f ca="1">VLOOKUP(RANDBETWEEN(1,6),TipoClima!A:C,3,0)</f>
        <v>Soleado</v>
      </c>
    </row>
    <row r="114" spans="1:10" ht="15.75" thickBot="1" x14ac:dyDescent="0.3">
      <c r="A114" s="12" t="s">
        <v>350</v>
      </c>
      <c r="B114" s="17">
        <v>46101</v>
      </c>
      <c r="C114" s="20">
        <v>0.73258836908444069</v>
      </c>
      <c r="D114" s="15" t="s">
        <v>20</v>
      </c>
      <c r="E114" s="15" t="str">
        <f ca="1">VLOOKUP(RANDBETWEEN(1,8),TipoAccidente!A:C,3,0)</f>
        <v>Atropello</v>
      </c>
      <c r="F114" s="15" t="str">
        <f ca="1">VLOOKUP(RANDBETWEEN(1,8),TipoAutomovilResponsable!A:C,3,0)</f>
        <v>Automóvil</v>
      </c>
      <c r="G114" s="13">
        <f t="shared" ca="1" si="1"/>
        <v>1</v>
      </c>
      <c r="H114" s="14">
        <v>4</v>
      </c>
      <c r="I114" s="25">
        <v>2</v>
      </c>
      <c r="J114" s="12" t="str">
        <f ca="1">VLOOKUP(RANDBETWEEN(1,6),TipoClima!A:C,3,0)</f>
        <v>Viento fuerte</v>
      </c>
    </row>
    <row r="115" spans="1:10" ht="15.75" thickBot="1" x14ac:dyDescent="0.3">
      <c r="A115" s="8" t="s">
        <v>351</v>
      </c>
      <c r="B115" s="18">
        <v>46206</v>
      </c>
      <c r="C115" s="21">
        <v>0.3856249356731708</v>
      </c>
      <c r="D115" s="11" t="s">
        <v>104</v>
      </c>
      <c r="E115" s="11" t="str">
        <f ca="1">VLOOKUP(RANDBETWEEN(1,8),TipoAccidente!A:C,3,0)</f>
        <v>Choque entre vehículos</v>
      </c>
      <c r="F115" s="11" t="str">
        <f ca="1">VLOOKUP(RANDBETWEEN(1,8),TipoAutomovilResponsable!A:C,3,0)</f>
        <v>Taxi</v>
      </c>
      <c r="G115" s="9">
        <f t="shared" ca="1" si="1"/>
        <v>2</v>
      </c>
      <c r="H115" s="10">
        <v>4</v>
      </c>
      <c r="I115" s="26">
        <v>0</v>
      </c>
      <c r="J115" s="8" t="str">
        <f ca="1">VLOOKUP(RANDBETWEEN(1,6),TipoClima!A:C,3,0)</f>
        <v>Nublado</v>
      </c>
    </row>
    <row r="116" spans="1:10" ht="15.75" thickBot="1" x14ac:dyDescent="0.3">
      <c r="A116" s="12" t="s">
        <v>352</v>
      </c>
      <c r="B116" s="17">
        <v>46207</v>
      </c>
      <c r="C116" s="20">
        <v>0.84102887865183695</v>
      </c>
      <c r="D116" s="15" t="s">
        <v>277</v>
      </c>
      <c r="E116" s="15" t="str">
        <f ca="1">VLOOKUP(RANDBETWEEN(1,8),TipoAccidente!A:C,3,0)</f>
        <v>Salida de vía</v>
      </c>
      <c r="F116" s="15" t="str">
        <f ca="1">VLOOKUP(RANDBETWEEN(1,8),TipoAutomovilResponsable!A:C,3,0)</f>
        <v>Automóvil</v>
      </c>
      <c r="G116" s="13">
        <f t="shared" ca="1" si="1"/>
        <v>2</v>
      </c>
      <c r="H116" s="14">
        <v>5</v>
      </c>
      <c r="I116" s="25">
        <v>1</v>
      </c>
      <c r="J116" s="12" t="str">
        <f ca="1">VLOOKUP(RANDBETWEEN(1,6),TipoClima!A:C,3,0)</f>
        <v>Nublado</v>
      </c>
    </row>
    <row r="117" spans="1:10" ht="15.75" thickBot="1" x14ac:dyDescent="0.3">
      <c r="A117" s="8" t="s">
        <v>353</v>
      </c>
      <c r="B117" s="18">
        <v>46137</v>
      </c>
      <c r="C117" s="21">
        <v>0.68644154034043714</v>
      </c>
      <c r="D117" s="11" t="s">
        <v>68</v>
      </c>
      <c r="E117" s="11" t="e">
        <f ca="1">VLOOKUP(RANDBETWEEN(1,8),TipoAccidente!A:C,3,0)</f>
        <v>#N/A</v>
      </c>
      <c r="F117" s="11" t="str">
        <f ca="1">VLOOKUP(RANDBETWEEN(1,8),TipoAutomovilResponsable!A:C,3,0)</f>
        <v>Camioneta</v>
      </c>
      <c r="G117" s="9">
        <f t="shared" ca="1" si="1"/>
        <v>2</v>
      </c>
      <c r="H117" s="10">
        <v>4</v>
      </c>
      <c r="I117" s="26">
        <v>1</v>
      </c>
      <c r="J117" s="8" t="str">
        <f ca="1">VLOOKUP(RANDBETWEEN(1,6),TipoClima!A:C,3,0)</f>
        <v>Neblina</v>
      </c>
    </row>
    <row r="118" spans="1:10" ht="15.75" thickBot="1" x14ac:dyDescent="0.3">
      <c r="A118" s="12" t="s">
        <v>354</v>
      </c>
      <c r="B118" s="17">
        <v>46181</v>
      </c>
      <c r="C118" s="20">
        <v>0.34333885336570213</v>
      </c>
      <c r="D118" s="15" t="s">
        <v>243</v>
      </c>
      <c r="E118" s="15" t="e">
        <f ca="1">VLOOKUP(RANDBETWEEN(1,8),TipoAccidente!A:C,3,0)</f>
        <v>#N/A</v>
      </c>
      <c r="F118" s="15" t="str">
        <f ca="1">VLOOKUP(RANDBETWEEN(1,8),TipoAutomovilResponsable!A:C,3,0)</f>
        <v>Camioneta</v>
      </c>
      <c r="G118" s="13">
        <f t="shared" ca="1" si="1"/>
        <v>1</v>
      </c>
      <c r="H118" s="14">
        <v>5</v>
      </c>
      <c r="I118" s="25">
        <v>0</v>
      </c>
      <c r="J118" s="12" t="str">
        <f ca="1">VLOOKUP(RANDBETWEEN(1,6),TipoClima!A:C,3,0)</f>
        <v>Lluvia intensa</v>
      </c>
    </row>
    <row r="119" spans="1:10" ht="15.75" thickBot="1" x14ac:dyDescent="0.3">
      <c r="A119" s="8" t="s">
        <v>355</v>
      </c>
      <c r="B119" s="18">
        <v>46134</v>
      </c>
      <c r="C119" s="21">
        <v>0.92384244592811871</v>
      </c>
      <c r="D119" s="11" t="s">
        <v>267</v>
      </c>
      <c r="E119" s="11" t="e">
        <f ca="1">VLOOKUP(RANDBETWEEN(1,8),TipoAccidente!A:C,3,0)</f>
        <v>#N/A</v>
      </c>
      <c r="F119" s="11" t="str">
        <f ca="1">VLOOKUP(RANDBETWEEN(1,8),TipoAutomovilResponsable!A:C,3,0)</f>
        <v>Camioneta</v>
      </c>
      <c r="G119" s="9">
        <f t="shared" ca="1" si="1"/>
        <v>3</v>
      </c>
      <c r="H119" s="10">
        <v>1</v>
      </c>
      <c r="I119" s="26">
        <v>1</v>
      </c>
      <c r="J119" s="8" t="str">
        <f ca="1">VLOOKUP(RANDBETWEEN(1,6),TipoClima!A:C,3,0)</f>
        <v>Soleado</v>
      </c>
    </row>
    <row r="120" spans="1:10" ht="15.75" thickBot="1" x14ac:dyDescent="0.3">
      <c r="A120" s="12" t="s">
        <v>356</v>
      </c>
      <c r="B120" s="17">
        <v>46150</v>
      </c>
      <c r="C120" s="20">
        <v>0.98012429699445602</v>
      </c>
      <c r="D120" s="15" t="s">
        <v>20</v>
      </c>
      <c r="E120" s="15" t="str">
        <f ca="1">VLOOKUP(RANDBETWEEN(1,8),TipoAccidente!A:C,3,0)</f>
        <v>Colisión con objeto fijo</v>
      </c>
      <c r="F120" s="15" t="str">
        <f ca="1">VLOOKUP(RANDBETWEEN(1,8),TipoAutomovilResponsable!A:C,3,0)</f>
        <v>Camioneta</v>
      </c>
      <c r="G120" s="13">
        <f t="shared" ca="1" si="1"/>
        <v>3</v>
      </c>
      <c r="H120" s="14">
        <v>2</v>
      </c>
      <c r="I120" s="25">
        <v>1</v>
      </c>
      <c r="J120" s="12" t="str">
        <f ca="1">VLOOKUP(RANDBETWEEN(1,6),TipoClima!A:C,3,0)</f>
        <v>Lluvia ligera</v>
      </c>
    </row>
    <row r="121" spans="1:10" ht="15.75" thickBot="1" x14ac:dyDescent="0.3">
      <c r="A121" s="8" t="s">
        <v>357</v>
      </c>
      <c r="B121" s="18">
        <v>46204</v>
      </c>
      <c r="C121" s="21">
        <v>0.27027272370130162</v>
      </c>
      <c r="D121" s="11" t="s">
        <v>262</v>
      </c>
      <c r="E121" s="11" t="str">
        <f ca="1">VLOOKUP(RANDBETWEEN(1,8),TipoAccidente!A:C,3,0)</f>
        <v>Choque entre vehículos</v>
      </c>
      <c r="F121" s="11" t="str">
        <f ca="1">VLOOKUP(RANDBETWEEN(1,8),TipoAutomovilResponsable!A:C,3,0)</f>
        <v>Tractocamión</v>
      </c>
      <c r="G121" s="9">
        <f t="shared" ca="1" si="1"/>
        <v>1</v>
      </c>
      <c r="H121" s="10">
        <v>5</v>
      </c>
      <c r="I121" s="26">
        <v>1</v>
      </c>
      <c r="J121" s="8" t="str">
        <f ca="1">VLOOKUP(RANDBETWEEN(1,6),TipoClima!A:C,3,0)</f>
        <v>Viento fuerte</v>
      </c>
    </row>
    <row r="122" spans="1:10" ht="15.75" thickBot="1" x14ac:dyDescent="0.3">
      <c r="A122" s="12" t="s">
        <v>358</v>
      </c>
      <c r="B122" s="17">
        <v>46059</v>
      </c>
      <c r="C122" s="20">
        <v>0.62766494664760597</v>
      </c>
      <c r="D122" s="15" t="s">
        <v>84</v>
      </c>
      <c r="E122" s="15" t="str">
        <f ca="1">VLOOKUP(RANDBETWEEN(1,8),TipoAccidente!A:C,3,0)</f>
        <v>Salida de vía</v>
      </c>
      <c r="F122" s="15" t="str">
        <f ca="1">VLOOKUP(RANDBETWEEN(1,8),TipoAutomovilResponsable!A:C,3,0)</f>
        <v>Automóvil</v>
      </c>
      <c r="G122" s="13">
        <f t="shared" ca="1" si="1"/>
        <v>1</v>
      </c>
      <c r="H122" s="14">
        <v>4</v>
      </c>
      <c r="I122" s="25">
        <v>1</v>
      </c>
      <c r="J122" s="12" t="str">
        <f ca="1">VLOOKUP(RANDBETWEEN(1,6),TipoClima!A:C,3,0)</f>
        <v>Nublado</v>
      </c>
    </row>
    <row r="123" spans="1:10" ht="15.75" thickBot="1" x14ac:dyDescent="0.3">
      <c r="A123" s="8" t="s">
        <v>359</v>
      </c>
      <c r="B123" s="18">
        <v>46192</v>
      </c>
      <c r="C123" s="21">
        <v>0.48798170701497723</v>
      </c>
      <c r="D123" s="11" t="s">
        <v>50</v>
      </c>
      <c r="E123" s="11" t="str">
        <f ca="1">VLOOKUP(RANDBETWEEN(1,8),TipoAccidente!A:C,3,0)</f>
        <v>Colisión con objeto fijo</v>
      </c>
      <c r="F123" s="11" t="str">
        <f ca="1">VLOOKUP(RANDBETWEEN(1,8),TipoAutomovilResponsable!A:C,3,0)</f>
        <v>Motocicleta</v>
      </c>
      <c r="G123" s="9">
        <f t="shared" ca="1" si="1"/>
        <v>1</v>
      </c>
      <c r="H123" s="10">
        <v>2</v>
      </c>
      <c r="I123" s="26">
        <v>2</v>
      </c>
      <c r="J123" s="8" t="str">
        <f ca="1">VLOOKUP(RANDBETWEEN(1,6),TipoClima!A:C,3,0)</f>
        <v>Soleado</v>
      </c>
    </row>
    <row r="124" spans="1:10" ht="15.75" thickBot="1" x14ac:dyDescent="0.3">
      <c r="A124" s="12" t="s">
        <v>360</v>
      </c>
      <c r="B124" s="17">
        <v>46170</v>
      </c>
      <c r="C124" s="20">
        <v>0.7556689897873119</v>
      </c>
      <c r="D124" s="15" t="s">
        <v>271</v>
      </c>
      <c r="E124" s="15" t="e">
        <f ca="1">VLOOKUP(RANDBETWEEN(1,8),TipoAccidente!A:C,3,0)</f>
        <v>#N/A</v>
      </c>
      <c r="F124" s="15" t="str">
        <f ca="1">VLOOKUP(RANDBETWEEN(1,8),TipoAutomovilResponsable!A:C,3,0)</f>
        <v>Camión</v>
      </c>
      <c r="G124" s="13">
        <f t="shared" ca="1" si="1"/>
        <v>3</v>
      </c>
      <c r="H124" s="14">
        <v>4</v>
      </c>
      <c r="I124" s="25">
        <v>0</v>
      </c>
      <c r="J124" s="12" t="str">
        <f ca="1">VLOOKUP(RANDBETWEEN(1,6),TipoClima!A:C,3,0)</f>
        <v>Soleado</v>
      </c>
    </row>
    <row r="125" spans="1:10" ht="15.75" thickBot="1" x14ac:dyDescent="0.3">
      <c r="A125" s="8" t="s">
        <v>361</v>
      </c>
      <c r="B125" s="18">
        <v>46083</v>
      </c>
      <c r="C125" s="21">
        <v>0.37951414291703478</v>
      </c>
      <c r="D125" s="11" t="s">
        <v>256</v>
      </c>
      <c r="E125" s="11" t="str">
        <f ca="1">VLOOKUP(RANDBETWEEN(1,8),TipoAccidente!A:C,3,0)</f>
        <v>Choque entre vehículos</v>
      </c>
      <c r="F125" s="11" t="str">
        <f ca="1">VLOOKUP(RANDBETWEEN(1,8),TipoAutomovilResponsable!A:C,3,0)</f>
        <v>Bicicleta</v>
      </c>
      <c r="G125" s="9">
        <f t="shared" ca="1" si="1"/>
        <v>3</v>
      </c>
      <c r="H125" s="10">
        <v>1</v>
      </c>
      <c r="I125" s="26">
        <v>1</v>
      </c>
      <c r="J125" s="8" t="str">
        <f ca="1">VLOOKUP(RANDBETWEEN(1,6),TipoClima!A:C,3,0)</f>
        <v>Soleado</v>
      </c>
    </row>
    <row r="126" spans="1:10" ht="15.75" thickBot="1" x14ac:dyDescent="0.3">
      <c r="A126" s="12" t="s">
        <v>362</v>
      </c>
      <c r="B126" s="17">
        <v>46163</v>
      </c>
      <c r="C126" s="20">
        <v>0.67345879716314039</v>
      </c>
      <c r="D126" s="15" t="s">
        <v>110</v>
      </c>
      <c r="E126" s="15" t="str">
        <f ca="1">VLOOKUP(RANDBETWEEN(1,8),TipoAccidente!A:C,3,0)</f>
        <v>Salida de vía</v>
      </c>
      <c r="F126" s="15" t="str">
        <f ca="1">VLOOKUP(RANDBETWEEN(1,8),TipoAutomovilResponsable!A:C,3,0)</f>
        <v>Tractocamión</v>
      </c>
      <c r="G126" s="13">
        <f t="shared" ca="1" si="1"/>
        <v>1</v>
      </c>
      <c r="H126" s="14">
        <v>5</v>
      </c>
      <c r="I126" s="25">
        <v>2</v>
      </c>
      <c r="J126" s="12" t="str">
        <f ca="1">VLOOKUP(RANDBETWEEN(1,6),TipoClima!A:C,3,0)</f>
        <v>Neblina</v>
      </c>
    </row>
    <row r="127" spans="1:10" ht="15.75" thickBot="1" x14ac:dyDescent="0.3">
      <c r="A127" s="8" t="s">
        <v>363</v>
      </c>
      <c r="B127" s="18">
        <v>46150</v>
      </c>
      <c r="C127" s="21">
        <v>0.54582350144639535</v>
      </c>
      <c r="D127" s="11" t="s">
        <v>88</v>
      </c>
      <c r="E127" s="11" t="str">
        <f ca="1">VLOOKUP(RANDBETWEEN(1,8),TipoAccidente!A:C,3,0)</f>
        <v>Atropello</v>
      </c>
      <c r="F127" s="11" t="str">
        <f ca="1">VLOOKUP(RANDBETWEEN(1,8),TipoAutomovilResponsable!A:C,3,0)</f>
        <v>Taxi</v>
      </c>
      <c r="G127" s="9">
        <f t="shared" ca="1" si="1"/>
        <v>2</v>
      </c>
      <c r="H127" s="10">
        <v>4</v>
      </c>
      <c r="I127" s="26">
        <v>0</v>
      </c>
      <c r="J127" s="8" t="str">
        <f ca="1">VLOOKUP(RANDBETWEEN(1,6),TipoClima!A:C,3,0)</f>
        <v>Nublado</v>
      </c>
    </row>
    <row r="128" spans="1:10" ht="15.75" thickBot="1" x14ac:dyDescent="0.3">
      <c r="A128" s="12" t="s">
        <v>364</v>
      </c>
      <c r="B128" s="17">
        <v>46213</v>
      </c>
      <c r="C128" s="20">
        <v>0.73941226385419123</v>
      </c>
      <c r="D128" s="15" t="s">
        <v>82</v>
      </c>
      <c r="E128" s="15" t="e">
        <f ca="1">VLOOKUP(RANDBETWEEN(1,8),TipoAccidente!A:C,3,0)</f>
        <v>#N/A</v>
      </c>
      <c r="F128" s="15" t="str">
        <f ca="1">VLOOKUP(RANDBETWEEN(1,8),TipoAutomovilResponsable!A:C,3,0)</f>
        <v>Bus</v>
      </c>
      <c r="G128" s="13">
        <f t="shared" ca="1" si="1"/>
        <v>3</v>
      </c>
      <c r="H128" s="14">
        <v>2</v>
      </c>
      <c r="I128" s="25">
        <v>1</v>
      </c>
      <c r="J128" s="12" t="str">
        <f ca="1">VLOOKUP(RANDBETWEEN(1,6),TipoClima!A:C,3,0)</f>
        <v>Nublado</v>
      </c>
    </row>
    <row r="129" spans="1:10" ht="15.75" thickBot="1" x14ac:dyDescent="0.3">
      <c r="A129" s="8" t="s">
        <v>365</v>
      </c>
      <c r="B129" s="18">
        <v>46080</v>
      </c>
      <c r="C129" s="21">
        <v>0.13829839705583447</v>
      </c>
      <c r="D129" s="11" t="s">
        <v>259</v>
      </c>
      <c r="E129" s="11" t="str">
        <f ca="1">VLOOKUP(RANDBETWEEN(1,8),TipoAccidente!A:C,3,0)</f>
        <v>Salida de vía</v>
      </c>
      <c r="F129" s="11" t="str">
        <f ca="1">VLOOKUP(RANDBETWEEN(1,8),TipoAutomovilResponsable!A:C,3,0)</f>
        <v>Bus</v>
      </c>
      <c r="G129" s="9">
        <f t="shared" ca="1" si="1"/>
        <v>2</v>
      </c>
      <c r="H129" s="10">
        <v>4</v>
      </c>
      <c r="I129" s="26">
        <v>1</v>
      </c>
      <c r="J129" s="8" t="str">
        <f ca="1">VLOOKUP(RANDBETWEEN(1,6),TipoClima!A:C,3,0)</f>
        <v>Nublado</v>
      </c>
    </row>
    <row r="130" spans="1:10" ht="15.75" thickBot="1" x14ac:dyDescent="0.3">
      <c r="A130" s="12" t="s">
        <v>366</v>
      </c>
      <c r="B130" s="17">
        <v>46108</v>
      </c>
      <c r="C130" s="20">
        <v>8.1478026719695396E-2</v>
      </c>
      <c r="D130" s="15" t="s">
        <v>46</v>
      </c>
      <c r="E130" s="15" t="str">
        <f ca="1">VLOOKUP(RANDBETWEEN(1,8),TipoAccidente!A:C,3,0)</f>
        <v>Atropello</v>
      </c>
      <c r="F130" s="15" t="str">
        <f ca="1">VLOOKUP(RANDBETWEEN(1,8),TipoAutomovilResponsable!A:C,3,0)</f>
        <v>Bus</v>
      </c>
      <c r="G130" s="13">
        <f t="shared" ca="1" si="1"/>
        <v>3</v>
      </c>
      <c r="H130" s="14">
        <v>5</v>
      </c>
      <c r="I130" s="25">
        <v>2</v>
      </c>
      <c r="J130" s="12" t="str">
        <f ca="1">VLOOKUP(RANDBETWEEN(1,6),TipoClima!A:C,3,0)</f>
        <v>Nublado</v>
      </c>
    </row>
    <row r="131" spans="1:10" ht="15.75" thickBot="1" x14ac:dyDescent="0.3">
      <c r="A131" s="8" t="s">
        <v>367</v>
      </c>
      <c r="B131" s="18">
        <v>46085</v>
      </c>
      <c r="C131" s="21">
        <v>0.17196442479648832</v>
      </c>
      <c r="D131" s="11" t="s">
        <v>38</v>
      </c>
      <c r="E131" s="11" t="str">
        <f ca="1">VLOOKUP(RANDBETWEEN(1,8),TipoAccidente!A:C,3,0)</f>
        <v>Colisión con objeto fijo</v>
      </c>
      <c r="F131" s="11" t="str">
        <f ca="1">VLOOKUP(RANDBETWEEN(1,8),TipoAutomovilResponsable!A:C,3,0)</f>
        <v>Tractocamión</v>
      </c>
      <c r="G131" s="9">
        <f t="shared" ref="G131:G194" ca="1" si="2">RANDBETWEEN(1,3)</f>
        <v>2</v>
      </c>
      <c r="H131" s="10">
        <v>4</v>
      </c>
      <c r="I131" s="26">
        <v>0</v>
      </c>
      <c r="J131" s="8" t="str">
        <f ca="1">VLOOKUP(RANDBETWEEN(1,6),TipoClima!A:C,3,0)</f>
        <v>Lluvia intensa</v>
      </c>
    </row>
    <row r="132" spans="1:10" ht="15.75" thickBot="1" x14ac:dyDescent="0.3">
      <c r="A132" s="12" t="s">
        <v>368</v>
      </c>
      <c r="B132" s="17">
        <v>46054</v>
      </c>
      <c r="C132" s="20">
        <v>5.0716105912121945E-2</v>
      </c>
      <c r="D132" s="15" t="s">
        <v>98</v>
      </c>
      <c r="E132" s="15" t="str">
        <f ca="1">VLOOKUP(RANDBETWEEN(1,8),TipoAccidente!A:C,3,0)</f>
        <v>Colisión con objeto fijo</v>
      </c>
      <c r="F132" s="15" t="str">
        <f ca="1">VLOOKUP(RANDBETWEEN(1,8),TipoAutomovilResponsable!A:C,3,0)</f>
        <v>Motocicleta</v>
      </c>
      <c r="G132" s="13">
        <f t="shared" ca="1" si="2"/>
        <v>3</v>
      </c>
      <c r="H132" s="14">
        <v>2</v>
      </c>
      <c r="I132" s="25">
        <v>1</v>
      </c>
      <c r="J132" s="12" t="str">
        <f ca="1">VLOOKUP(RANDBETWEEN(1,6),TipoClima!A:C,3,0)</f>
        <v>Neblina</v>
      </c>
    </row>
    <row r="133" spans="1:10" ht="15.75" thickBot="1" x14ac:dyDescent="0.3">
      <c r="A133" s="8" t="s">
        <v>369</v>
      </c>
      <c r="B133" s="18">
        <v>46115</v>
      </c>
      <c r="C133" s="21">
        <v>0.11760264316091873</v>
      </c>
      <c r="D133" s="11" t="s">
        <v>261</v>
      </c>
      <c r="E133" s="11" t="e">
        <f ca="1">VLOOKUP(RANDBETWEEN(1,8),TipoAccidente!A:C,3,0)</f>
        <v>#N/A</v>
      </c>
      <c r="F133" s="11" t="str">
        <f ca="1">VLOOKUP(RANDBETWEEN(1,8),TipoAutomovilResponsable!A:C,3,0)</f>
        <v>Bus</v>
      </c>
      <c r="G133" s="9">
        <f t="shared" ca="1" si="2"/>
        <v>3</v>
      </c>
      <c r="H133" s="10">
        <v>3</v>
      </c>
      <c r="I133" s="26">
        <v>0</v>
      </c>
      <c r="J133" s="8" t="str">
        <f ca="1">VLOOKUP(RANDBETWEEN(1,6),TipoClima!A:C,3,0)</f>
        <v>Lluvia intensa</v>
      </c>
    </row>
    <row r="134" spans="1:10" ht="15.75" thickBot="1" x14ac:dyDescent="0.3">
      <c r="A134" s="12" t="s">
        <v>370</v>
      </c>
      <c r="B134" s="17">
        <v>46023</v>
      </c>
      <c r="C134" s="20">
        <v>0.78589853457788239</v>
      </c>
      <c r="D134" s="15" t="s">
        <v>110</v>
      </c>
      <c r="E134" s="15" t="e">
        <f ca="1">VLOOKUP(RANDBETWEEN(1,8),TipoAccidente!A:C,3,0)</f>
        <v>#N/A</v>
      </c>
      <c r="F134" s="15" t="str">
        <f ca="1">VLOOKUP(RANDBETWEEN(1,8),TipoAutomovilResponsable!A:C,3,0)</f>
        <v>Motocicleta</v>
      </c>
      <c r="G134" s="13">
        <f t="shared" ca="1" si="2"/>
        <v>2</v>
      </c>
      <c r="H134" s="14">
        <v>2</v>
      </c>
      <c r="I134" s="25">
        <v>1</v>
      </c>
      <c r="J134" s="12" t="str">
        <f ca="1">VLOOKUP(RANDBETWEEN(1,6),TipoClima!A:C,3,0)</f>
        <v>Nublado</v>
      </c>
    </row>
    <row r="135" spans="1:10" ht="15.75" thickBot="1" x14ac:dyDescent="0.3">
      <c r="A135" s="8" t="s">
        <v>371</v>
      </c>
      <c r="B135" s="18">
        <v>46185</v>
      </c>
      <c r="C135" s="21">
        <v>0.68679173179140918</v>
      </c>
      <c r="D135" s="11" t="s">
        <v>52</v>
      </c>
      <c r="E135" s="11" t="e">
        <f ca="1">VLOOKUP(RANDBETWEEN(1,8),TipoAccidente!A:C,3,0)</f>
        <v>#N/A</v>
      </c>
      <c r="F135" s="11" t="str">
        <f ca="1">VLOOKUP(RANDBETWEEN(1,8),TipoAutomovilResponsable!A:C,3,0)</f>
        <v>Camión</v>
      </c>
      <c r="G135" s="9">
        <f t="shared" ca="1" si="2"/>
        <v>3</v>
      </c>
      <c r="H135" s="10">
        <v>2</v>
      </c>
      <c r="I135" s="26">
        <v>2</v>
      </c>
      <c r="J135" s="8" t="str">
        <f ca="1">VLOOKUP(RANDBETWEEN(1,6),TipoClima!A:C,3,0)</f>
        <v>Neblina</v>
      </c>
    </row>
    <row r="136" spans="1:10" ht="15.75" thickBot="1" x14ac:dyDescent="0.3">
      <c r="A136" s="12" t="s">
        <v>372</v>
      </c>
      <c r="B136" s="17">
        <v>46078</v>
      </c>
      <c r="C136" s="20">
        <v>0.10567792376226492</v>
      </c>
      <c r="D136" s="15" t="s">
        <v>251</v>
      </c>
      <c r="E136" s="15" t="str">
        <f ca="1">VLOOKUP(RANDBETWEEN(1,8),TipoAccidente!A:C,3,0)</f>
        <v>Salida de vía</v>
      </c>
      <c r="F136" s="15" t="str">
        <f ca="1">VLOOKUP(RANDBETWEEN(1,8),TipoAutomovilResponsable!A:C,3,0)</f>
        <v>Automóvil</v>
      </c>
      <c r="G136" s="13">
        <f t="shared" ca="1" si="2"/>
        <v>3</v>
      </c>
      <c r="H136" s="14">
        <v>5</v>
      </c>
      <c r="I136" s="25">
        <v>2</v>
      </c>
      <c r="J136" s="12" t="str">
        <f ca="1">VLOOKUP(RANDBETWEEN(1,6),TipoClima!A:C,3,0)</f>
        <v>Lluvia intensa</v>
      </c>
    </row>
    <row r="137" spans="1:10" ht="15.75" thickBot="1" x14ac:dyDescent="0.3">
      <c r="A137" s="8" t="s">
        <v>373</v>
      </c>
      <c r="B137" s="18">
        <v>46053</v>
      </c>
      <c r="C137" s="21">
        <v>0.10962462377820092</v>
      </c>
      <c r="D137" s="11" t="s">
        <v>110</v>
      </c>
      <c r="E137" s="11" t="str">
        <f ca="1">VLOOKUP(RANDBETWEEN(1,8),TipoAccidente!A:C,3,0)</f>
        <v>Salida de vía</v>
      </c>
      <c r="F137" s="11" t="str">
        <f ca="1">VLOOKUP(RANDBETWEEN(1,8),TipoAutomovilResponsable!A:C,3,0)</f>
        <v>Camioneta</v>
      </c>
      <c r="G137" s="9">
        <f t="shared" ca="1" si="2"/>
        <v>2</v>
      </c>
      <c r="H137" s="10">
        <v>4</v>
      </c>
      <c r="I137" s="26">
        <v>2</v>
      </c>
      <c r="J137" s="8" t="str">
        <f ca="1">VLOOKUP(RANDBETWEEN(1,6),TipoClima!A:C,3,0)</f>
        <v>Soleado</v>
      </c>
    </row>
    <row r="138" spans="1:10" ht="15.75" thickBot="1" x14ac:dyDescent="0.3">
      <c r="A138" s="12" t="s">
        <v>374</v>
      </c>
      <c r="B138" s="17">
        <v>46190</v>
      </c>
      <c r="C138" s="20">
        <v>9.5558869715576589E-2</v>
      </c>
      <c r="D138" s="15" t="s">
        <v>268</v>
      </c>
      <c r="E138" s="15" t="str">
        <f ca="1">VLOOKUP(RANDBETWEEN(1,8),TipoAccidente!A:C,3,0)</f>
        <v>Volcamiento</v>
      </c>
      <c r="F138" s="15" t="str">
        <f ca="1">VLOOKUP(RANDBETWEEN(1,8),TipoAutomovilResponsable!A:C,3,0)</f>
        <v>Automóvil</v>
      </c>
      <c r="G138" s="13">
        <f t="shared" ca="1" si="2"/>
        <v>2</v>
      </c>
      <c r="H138" s="14">
        <v>4</v>
      </c>
      <c r="I138" s="25">
        <v>0</v>
      </c>
      <c r="J138" s="12" t="str">
        <f ca="1">VLOOKUP(RANDBETWEEN(1,6),TipoClima!A:C,3,0)</f>
        <v>Soleado</v>
      </c>
    </row>
    <row r="139" spans="1:10" ht="15.75" thickBot="1" x14ac:dyDescent="0.3">
      <c r="A139" s="8" t="s">
        <v>375</v>
      </c>
      <c r="B139" s="18">
        <v>46187</v>
      </c>
      <c r="C139" s="21">
        <v>0.3369924947402152</v>
      </c>
      <c r="D139" s="11" t="s">
        <v>260</v>
      </c>
      <c r="E139" s="11" t="str">
        <f ca="1">VLOOKUP(RANDBETWEEN(1,8),TipoAccidente!A:C,3,0)</f>
        <v>Choque entre vehículos</v>
      </c>
      <c r="F139" s="11" t="str">
        <f ca="1">VLOOKUP(RANDBETWEEN(1,8),TipoAutomovilResponsable!A:C,3,0)</f>
        <v>Taxi</v>
      </c>
      <c r="G139" s="9">
        <f t="shared" ca="1" si="2"/>
        <v>1</v>
      </c>
      <c r="H139" s="10">
        <v>3</v>
      </c>
      <c r="I139" s="26">
        <v>2</v>
      </c>
      <c r="J139" s="8" t="str">
        <f ca="1">VLOOKUP(RANDBETWEEN(1,6),TipoClima!A:C,3,0)</f>
        <v>Neblina</v>
      </c>
    </row>
    <row r="140" spans="1:10" ht="15.75" thickBot="1" x14ac:dyDescent="0.3">
      <c r="A140" s="12" t="s">
        <v>376</v>
      </c>
      <c r="B140" s="17">
        <v>46216</v>
      </c>
      <c r="C140" s="20">
        <v>3.8428825726612992E-2</v>
      </c>
      <c r="D140" s="15" t="s">
        <v>259</v>
      </c>
      <c r="E140" s="15" t="str">
        <f ca="1">VLOOKUP(RANDBETWEEN(1,8),TipoAccidente!A:C,3,0)</f>
        <v>Salida de vía</v>
      </c>
      <c r="F140" s="15" t="str">
        <f ca="1">VLOOKUP(RANDBETWEEN(1,8),TipoAutomovilResponsable!A:C,3,0)</f>
        <v>Camión</v>
      </c>
      <c r="G140" s="13">
        <f t="shared" ca="1" si="2"/>
        <v>2</v>
      </c>
      <c r="H140" s="14">
        <v>2</v>
      </c>
      <c r="I140" s="25">
        <v>0</v>
      </c>
      <c r="J140" s="12" t="str">
        <f ca="1">VLOOKUP(RANDBETWEEN(1,6),TipoClima!A:C,3,0)</f>
        <v>Soleado</v>
      </c>
    </row>
    <row r="141" spans="1:10" ht="15.75" thickBot="1" x14ac:dyDescent="0.3">
      <c r="A141" s="8" t="s">
        <v>377</v>
      </c>
      <c r="B141" s="18">
        <v>46197</v>
      </c>
      <c r="C141" s="21">
        <v>0.87546702889705352</v>
      </c>
      <c r="D141" s="11" t="s">
        <v>247</v>
      </c>
      <c r="E141" s="11" t="str">
        <f ca="1">VLOOKUP(RANDBETWEEN(1,8),TipoAccidente!A:C,3,0)</f>
        <v>Salida de vía</v>
      </c>
      <c r="F141" s="11" t="str">
        <f ca="1">VLOOKUP(RANDBETWEEN(1,8),TipoAutomovilResponsable!A:C,3,0)</f>
        <v>Automóvil</v>
      </c>
      <c r="G141" s="9">
        <f t="shared" ca="1" si="2"/>
        <v>2</v>
      </c>
      <c r="H141" s="10">
        <v>3</v>
      </c>
      <c r="I141" s="26">
        <v>2</v>
      </c>
      <c r="J141" s="8" t="str">
        <f ca="1">VLOOKUP(RANDBETWEEN(1,6),TipoClima!A:C,3,0)</f>
        <v>Soleado</v>
      </c>
    </row>
    <row r="142" spans="1:10" ht="15.75" thickBot="1" x14ac:dyDescent="0.3">
      <c r="A142" s="12" t="s">
        <v>378</v>
      </c>
      <c r="B142" s="17">
        <v>46204</v>
      </c>
      <c r="C142" s="20">
        <v>0.10504975924145621</v>
      </c>
      <c r="D142" s="15" t="s">
        <v>24</v>
      </c>
      <c r="E142" s="15" t="e">
        <f ca="1">VLOOKUP(RANDBETWEEN(1,8),TipoAccidente!A:C,3,0)</f>
        <v>#N/A</v>
      </c>
      <c r="F142" s="15" t="str">
        <f ca="1">VLOOKUP(RANDBETWEEN(1,8),TipoAutomovilResponsable!A:C,3,0)</f>
        <v>Camión</v>
      </c>
      <c r="G142" s="13">
        <f t="shared" ca="1" si="2"/>
        <v>3</v>
      </c>
      <c r="H142" s="14">
        <v>5</v>
      </c>
      <c r="I142" s="25">
        <v>0</v>
      </c>
      <c r="J142" s="12" t="str">
        <f ca="1">VLOOKUP(RANDBETWEEN(1,6),TipoClima!A:C,3,0)</f>
        <v>Viento fuerte</v>
      </c>
    </row>
    <row r="143" spans="1:10" ht="15.75" thickBot="1" x14ac:dyDescent="0.3">
      <c r="A143" s="8" t="s">
        <v>379</v>
      </c>
      <c r="B143" s="18">
        <v>46060</v>
      </c>
      <c r="C143" s="21">
        <v>0.83074527400646214</v>
      </c>
      <c r="D143" s="11" t="s">
        <v>280</v>
      </c>
      <c r="E143" s="11" t="e">
        <f ca="1">VLOOKUP(RANDBETWEEN(1,8),TipoAccidente!A:C,3,0)</f>
        <v>#N/A</v>
      </c>
      <c r="F143" s="11" t="str">
        <f ca="1">VLOOKUP(RANDBETWEEN(1,8),TipoAutomovilResponsable!A:C,3,0)</f>
        <v>Taxi</v>
      </c>
      <c r="G143" s="9">
        <f t="shared" ca="1" si="2"/>
        <v>2</v>
      </c>
      <c r="H143" s="10">
        <v>2</v>
      </c>
      <c r="I143" s="26">
        <v>1</v>
      </c>
      <c r="J143" s="8" t="str">
        <f ca="1">VLOOKUP(RANDBETWEEN(1,6),TipoClima!A:C,3,0)</f>
        <v>Soleado</v>
      </c>
    </row>
    <row r="144" spans="1:10" ht="15.75" thickBot="1" x14ac:dyDescent="0.3">
      <c r="A144" s="12" t="s">
        <v>380</v>
      </c>
      <c r="B144" s="17">
        <v>46215</v>
      </c>
      <c r="C144" s="20">
        <v>0.73074194181683161</v>
      </c>
      <c r="D144" s="15" t="s">
        <v>64</v>
      </c>
      <c r="E144" s="15" t="str">
        <f ca="1">VLOOKUP(RANDBETWEEN(1,8),TipoAccidente!A:C,3,0)</f>
        <v>Atropello</v>
      </c>
      <c r="F144" s="15" t="str">
        <f ca="1">VLOOKUP(RANDBETWEEN(1,8),TipoAutomovilResponsable!A:C,3,0)</f>
        <v>Bicicleta</v>
      </c>
      <c r="G144" s="13">
        <f t="shared" ca="1" si="2"/>
        <v>2</v>
      </c>
      <c r="H144" s="14">
        <v>1</v>
      </c>
      <c r="I144" s="25">
        <v>0</v>
      </c>
      <c r="J144" s="12" t="str">
        <f ca="1">VLOOKUP(RANDBETWEEN(1,6),TipoClima!A:C,3,0)</f>
        <v>Lluvia ligera</v>
      </c>
    </row>
    <row r="145" spans="1:10" ht="15.75" thickBot="1" x14ac:dyDescent="0.3">
      <c r="A145" s="8" t="s">
        <v>381</v>
      </c>
      <c r="B145" s="18">
        <v>46220</v>
      </c>
      <c r="C145" s="21">
        <v>0.78498629981733403</v>
      </c>
      <c r="D145" s="11" t="s">
        <v>260</v>
      </c>
      <c r="E145" s="11" t="str">
        <f ca="1">VLOOKUP(RANDBETWEEN(1,8),TipoAccidente!A:C,3,0)</f>
        <v>Choque entre vehículos</v>
      </c>
      <c r="F145" s="11" t="str">
        <f ca="1">VLOOKUP(RANDBETWEEN(1,8),TipoAutomovilResponsable!A:C,3,0)</f>
        <v>Automóvil</v>
      </c>
      <c r="G145" s="9">
        <f t="shared" ca="1" si="2"/>
        <v>1</v>
      </c>
      <c r="H145" s="10">
        <v>4</v>
      </c>
      <c r="I145" s="26">
        <v>1</v>
      </c>
      <c r="J145" s="8" t="str">
        <f ca="1">VLOOKUP(RANDBETWEEN(1,6),TipoClima!A:C,3,0)</f>
        <v>Lluvia ligera</v>
      </c>
    </row>
    <row r="146" spans="1:10" ht="15.75" thickBot="1" x14ac:dyDescent="0.3">
      <c r="A146" s="12" t="s">
        <v>382</v>
      </c>
      <c r="B146" s="17">
        <v>46130</v>
      </c>
      <c r="C146" s="20">
        <v>0.79633597844303949</v>
      </c>
      <c r="D146" s="15" t="s">
        <v>257</v>
      </c>
      <c r="E146" s="15" t="str">
        <f ca="1">VLOOKUP(RANDBETWEEN(1,8),TipoAccidente!A:C,3,0)</f>
        <v>Choque entre vehículos</v>
      </c>
      <c r="F146" s="15" t="str">
        <f ca="1">VLOOKUP(RANDBETWEEN(1,8),TipoAutomovilResponsable!A:C,3,0)</f>
        <v>Bicicleta</v>
      </c>
      <c r="G146" s="13">
        <f t="shared" ca="1" si="2"/>
        <v>2</v>
      </c>
      <c r="H146" s="14">
        <v>1</v>
      </c>
      <c r="I146" s="25">
        <v>2</v>
      </c>
      <c r="J146" s="12" t="str">
        <f ca="1">VLOOKUP(RANDBETWEEN(1,6),TipoClima!A:C,3,0)</f>
        <v>Lluvia ligera</v>
      </c>
    </row>
    <row r="147" spans="1:10" ht="15.75" thickBot="1" x14ac:dyDescent="0.3">
      <c r="A147" s="8" t="s">
        <v>383</v>
      </c>
      <c r="B147" s="18">
        <v>46044</v>
      </c>
      <c r="C147" s="21">
        <v>0.61503486550776965</v>
      </c>
      <c r="D147" s="11" t="s">
        <v>72</v>
      </c>
      <c r="E147" s="11" t="e">
        <f ca="1">VLOOKUP(RANDBETWEEN(1,8),TipoAccidente!A:C,3,0)</f>
        <v>#N/A</v>
      </c>
      <c r="F147" s="11" t="str">
        <f ca="1">VLOOKUP(RANDBETWEEN(1,8),TipoAutomovilResponsable!A:C,3,0)</f>
        <v>Bicicleta</v>
      </c>
      <c r="G147" s="9">
        <f t="shared" ca="1" si="2"/>
        <v>1</v>
      </c>
      <c r="H147" s="10">
        <v>2</v>
      </c>
      <c r="I147" s="26">
        <v>2</v>
      </c>
      <c r="J147" s="8" t="str">
        <f ca="1">VLOOKUP(RANDBETWEEN(1,6),TipoClima!A:C,3,0)</f>
        <v>Viento fuerte</v>
      </c>
    </row>
    <row r="148" spans="1:10" ht="15.75" thickBot="1" x14ac:dyDescent="0.3">
      <c r="A148" s="12" t="s">
        <v>384</v>
      </c>
      <c r="B148" s="17">
        <v>46043</v>
      </c>
      <c r="C148" s="20">
        <v>0.51947656702924716</v>
      </c>
      <c r="D148" s="15" t="s">
        <v>284</v>
      </c>
      <c r="E148" s="15" t="e">
        <f ca="1">VLOOKUP(RANDBETWEEN(1,8),TipoAccidente!A:C,3,0)</f>
        <v>#N/A</v>
      </c>
      <c r="F148" s="15" t="str">
        <f ca="1">VLOOKUP(RANDBETWEEN(1,8),TipoAutomovilResponsable!A:C,3,0)</f>
        <v>Bicicleta</v>
      </c>
      <c r="G148" s="13">
        <f t="shared" ca="1" si="2"/>
        <v>2</v>
      </c>
      <c r="H148" s="14">
        <v>3</v>
      </c>
      <c r="I148" s="25">
        <v>2</v>
      </c>
      <c r="J148" s="12" t="str">
        <f ca="1">VLOOKUP(RANDBETWEEN(1,6),TipoClima!A:C,3,0)</f>
        <v>Soleado</v>
      </c>
    </row>
    <row r="149" spans="1:10" ht="15.75" thickBot="1" x14ac:dyDescent="0.3">
      <c r="A149" s="8" t="s">
        <v>385</v>
      </c>
      <c r="B149" s="18">
        <v>46211</v>
      </c>
      <c r="C149" s="21">
        <v>0.64659549055823928</v>
      </c>
      <c r="D149" s="11" t="s">
        <v>106</v>
      </c>
      <c r="E149" s="11" t="str">
        <f ca="1">VLOOKUP(RANDBETWEEN(1,8),TipoAccidente!A:C,3,0)</f>
        <v>Choque entre vehículos</v>
      </c>
      <c r="F149" s="11" t="str">
        <f ca="1">VLOOKUP(RANDBETWEEN(1,8),TipoAutomovilResponsable!A:C,3,0)</f>
        <v>Bicicleta</v>
      </c>
      <c r="G149" s="9">
        <f t="shared" ca="1" si="2"/>
        <v>3</v>
      </c>
      <c r="H149" s="10">
        <v>5</v>
      </c>
      <c r="I149" s="26">
        <v>0</v>
      </c>
      <c r="J149" s="8" t="str">
        <f ca="1">VLOOKUP(RANDBETWEEN(1,6),TipoClima!A:C,3,0)</f>
        <v>Lluvia intensa</v>
      </c>
    </row>
    <row r="150" spans="1:10" ht="15.75" thickBot="1" x14ac:dyDescent="0.3">
      <c r="A150" s="12" t="s">
        <v>386</v>
      </c>
      <c r="B150" s="17">
        <v>46026</v>
      </c>
      <c r="C150" s="20">
        <v>0.59063483633318503</v>
      </c>
      <c r="D150" s="15" t="s">
        <v>282</v>
      </c>
      <c r="E150" s="15" t="e">
        <f ca="1">VLOOKUP(RANDBETWEEN(1,8),TipoAccidente!A:C,3,0)</f>
        <v>#N/A</v>
      </c>
      <c r="F150" s="15" t="str">
        <f ca="1">VLOOKUP(RANDBETWEEN(1,8),TipoAutomovilResponsable!A:C,3,0)</f>
        <v>Automóvil</v>
      </c>
      <c r="G150" s="13">
        <f t="shared" ca="1" si="2"/>
        <v>3</v>
      </c>
      <c r="H150" s="14">
        <v>2</v>
      </c>
      <c r="I150" s="25">
        <v>1</v>
      </c>
      <c r="J150" s="12" t="str">
        <f ca="1">VLOOKUP(RANDBETWEEN(1,6),TipoClima!A:C,3,0)</f>
        <v>Soleado</v>
      </c>
    </row>
    <row r="151" spans="1:10" ht="15.75" thickBot="1" x14ac:dyDescent="0.3">
      <c r="A151" s="8" t="s">
        <v>387</v>
      </c>
      <c r="B151" s="18">
        <v>46153</v>
      </c>
      <c r="C151" s="21">
        <v>0.36132536638396529</v>
      </c>
      <c r="D151" s="11" t="s">
        <v>252</v>
      </c>
      <c r="E151" s="11" t="e">
        <f ca="1">VLOOKUP(RANDBETWEEN(1,8),TipoAccidente!A:C,3,0)</f>
        <v>#N/A</v>
      </c>
      <c r="F151" s="11" t="str">
        <f ca="1">VLOOKUP(RANDBETWEEN(1,8),TipoAutomovilResponsable!A:C,3,0)</f>
        <v>Camioneta</v>
      </c>
      <c r="G151" s="9">
        <f t="shared" ca="1" si="2"/>
        <v>2</v>
      </c>
      <c r="H151" s="10">
        <v>4</v>
      </c>
      <c r="I151" s="26">
        <v>0</v>
      </c>
      <c r="J151" s="8" t="str">
        <f ca="1">VLOOKUP(RANDBETWEEN(1,6),TipoClima!A:C,3,0)</f>
        <v>Soleado</v>
      </c>
    </row>
    <row r="152" spans="1:10" ht="15.75" thickBot="1" x14ac:dyDescent="0.3">
      <c r="A152" s="12" t="s">
        <v>388</v>
      </c>
      <c r="B152" s="17">
        <v>46037</v>
      </c>
      <c r="C152" s="20">
        <v>0.32530346962455436</v>
      </c>
      <c r="D152" s="15" t="s">
        <v>80</v>
      </c>
      <c r="E152" s="15" t="e">
        <f ca="1">VLOOKUP(RANDBETWEEN(1,8),TipoAccidente!A:C,3,0)</f>
        <v>#N/A</v>
      </c>
      <c r="F152" s="15" t="str">
        <f ca="1">VLOOKUP(RANDBETWEEN(1,8),TipoAutomovilResponsable!A:C,3,0)</f>
        <v>Tractocamión</v>
      </c>
      <c r="G152" s="13">
        <f t="shared" ca="1" si="2"/>
        <v>2</v>
      </c>
      <c r="H152" s="14">
        <v>4</v>
      </c>
      <c r="I152" s="25">
        <v>1</v>
      </c>
      <c r="J152" s="12" t="str">
        <f ca="1">VLOOKUP(RANDBETWEEN(1,6),TipoClima!A:C,3,0)</f>
        <v>Lluvia ligera</v>
      </c>
    </row>
    <row r="153" spans="1:10" ht="15.75" thickBot="1" x14ac:dyDescent="0.3">
      <c r="A153" s="8" t="s">
        <v>389</v>
      </c>
      <c r="B153" s="18">
        <v>46187</v>
      </c>
      <c r="C153" s="21">
        <v>0.76299742037324214</v>
      </c>
      <c r="D153" s="11" t="s">
        <v>40</v>
      </c>
      <c r="E153" s="11" t="e">
        <f ca="1">VLOOKUP(RANDBETWEEN(1,8),TipoAccidente!A:C,3,0)</f>
        <v>#N/A</v>
      </c>
      <c r="F153" s="11" t="str">
        <f ca="1">VLOOKUP(RANDBETWEEN(1,8),TipoAutomovilResponsable!A:C,3,0)</f>
        <v>Automóvil</v>
      </c>
      <c r="G153" s="9">
        <f t="shared" ca="1" si="2"/>
        <v>3</v>
      </c>
      <c r="H153" s="10">
        <v>5</v>
      </c>
      <c r="I153" s="26">
        <v>2</v>
      </c>
      <c r="J153" s="8" t="str">
        <f ca="1">VLOOKUP(RANDBETWEEN(1,6),TipoClima!A:C,3,0)</f>
        <v>Nublado</v>
      </c>
    </row>
    <row r="154" spans="1:10" ht="15.75" thickBot="1" x14ac:dyDescent="0.3">
      <c r="A154" s="12" t="s">
        <v>390</v>
      </c>
      <c r="B154" s="17">
        <v>46122</v>
      </c>
      <c r="C154" s="20">
        <v>0.42469342877994798</v>
      </c>
      <c r="D154" s="15" t="s">
        <v>284</v>
      </c>
      <c r="E154" s="15" t="str">
        <f ca="1">VLOOKUP(RANDBETWEEN(1,8),TipoAccidente!A:C,3,0)</f>
        <v>Salida de vía</v>
      </c>
      <c r="F154" s="15" t="str">
        <f ca="1">VLOOKUP(RANDBETWEEN(1,8),TipoAutomovilResponsable!A:C,3,0)</f>
        <v>Bicicleta</v>
      </c>
      <c r="G154" s="13">
        <f t="shared" ca="1" si="2"/>
        <v>3</v>
      </c>
      <c r="H154" s="14">
        <v>2</v>
      </c>
      <c r="I154" s="25">
        <v>0</v>
      </c>
      <c r="J154" s="12" t="str">
        <f ca="1">VLOOKUP(RANDBETWEEN(1,6),TipoClima!A:C,3,0)</f>
        <v>Neblina</v>
      </c>
    </row>
    <row r="155" spans="1:10" ht="15.75" thickBot="1" x14ac:dyDescent="0.3">
      <c r="A155" s="8" t="s">
        <v>391</v>
      </c>
      <c r="B155" s="18">
        <v>46154</v>
      </c>
      <c r="C155" s="21">
        <v>0.66121271902689283</v>
      </c>
      <c r="D155" s="11" t="s">
        <v>26</v>
      </c>
      <c r="E155" s="11" t="str">
        <f ca="1">VLOOKUP(RANDBETWEEN(1,8),TipoAccidente!A:C,3,0)</f>
        <v>Colisión con objeto fijo</v>
      </c>
      <c r="F155" s="11" t="str">
        <f ca="1">VLOOKUP(RANDBETWEEN(1,8),TipoAutomovilResponsable!A:C,3,0)</f>
        <v>Tractocamión</v>
      </c>
      <c r="G155" s="9">
        <f t="shared" ca="1" si="2"/>
        <v>2</v>
      </c>
      <c r="H155" s="10">
        <v>4</v>
      </c>
      <c r="I155" s="26">
        <v>2</v>
      </c>
      <c r="J155" s="8" t="str">
        <f ca="1">VLOOKUP(RANDBETWEEN(1,6),TipoClima!A:C,3,0)</f>
        <v>Lluvia ligera</v>
      </c>
    </row>
    <row r="156" spans="1:10" ht="15.75" thickBot="1" x14ac:dyDescent="0.3">
      <c r="A156" s="12" t="s">
        <v>392</v>
      </c>
      <c r="B156" s="17">
        <v>46110</v>
      </c>
      <c r="C156" s="20">
        <v>0.85595116435310037</v>
      </c>
      <c r="D156" s="15" t="s">
        <v>253</v>
      </c>
      <c r="E156" s="15" t="e">
        <f ca="1">VLOOKUP(RANDBETWEEN(1,8),TipoAccidente!A:C,3,0)</f>
        <v>#N/A</v>
      </c>
      <c r="F156" s="15" t="str">
        <f ca="1">VLOOKUP(RANDBETWEEN(1,8),TipoAutomovilResponsable!A:C,3,0)</f>
        <v>Bus</v>
      </c>
      <c r="G156" s="13">
        <f t="shared" ca="1" si="2"/>
        <v>3</v>
      </c>
      <c r="H156" s="14">
        <v>5</v>
      </c>
      <c r="I156" s="25">
        <v>1</v>
      </c>
      <c r="J156" s="12" t="str">
        <f ca="1">VLOOKUP(RANDBETWEEN(1,6),TipoClima!A:C,3,0)</f>
        <v>Neblina</v>
      </c>
    </row>
    <row r="157" spans="1:10" ht="15.75" thickBot="1" x14ac:dyDescent="0.3">
      <c r="A157" s="8" t="s">
        <v>393</v>
      </c>
      <c r="B157" s="18">
        <v>46165</v>
      </c>
      <c r="C157" s="21">
        <v>0.67294666687560911</v>
      </c>
      <c r="D157" s="11" t="s">
        <v>254</v>
      </c>
      <c r="E157" s="11" t="e">
        <f ca="1">VLOOKUP(RANDBETWEEN(1,8),TipoAccidente!A:C,3,0)</f>
        <v>#N/A</v>
      </c>
      <c r="F157" s="11" t="str">
        <f ca="1">VLOOKUP(RANDBETWEEN(1,8),TipoAutomovilResponsable!A:C,3,0)</f>
        <v>Bus</v>
      </c>
      <c r="G157" s="9">
        <f t="shared" ca="1" si="2"/>
        <v>1</v>
      </c>
      <c r="H157" s="10">
        <v>2</v>
      </c>
      <c r="I157" s="26">
        <v>2</v>
      </c>
      <c r="J157" s="8" t="str">
        <f ca="1">VLOOKUP(RANDBETWEEN(1,6),TipoClima!A:C,3,0)</f>
        <v>Neblina</v>
      </c>
    </row>
    <row r="158" spans="1:10" ht="15.75" thickBot="1" x14ac:dyDescent="0.3">
      <c r="A158" s="12" t="s">
        <v>394</v>
      </c>
      <c r="B158" s="17">
        <v>46165</v>
      </c>
      <c r="C158" s="20">
        <v>0.77547910558835398</v>
      </c>
      <c r="D158" s="15" t="s">
        <v>242</v>
      </c>
      <c r="E158" s="15" t="e">
        <f ca="1">VLOOKUP(RANDBETWEEN(1,8),TipoAccidente!A:C,3,0)</f>
        <v>#N/A</v>
      </c>
      <c r="F158" s="15" t="str">
        <f ca="1">VLOOKUP(RANDBETWEEN(1,8),TipoAutomovilResponsable!A:C,3,0)</f>
        <v>Tractocamión</v>
      </c>
      <c r="G158" s="13">
        <f t="shared" ca="1" si="2"/>
        <v>1</v>
      </c>
      <c r="H158" s="14">
        <v>1</v>
      </c>
      <c r="I158" s="25">
        <v>0</v>
      </c>
      <c r="J158" s="12" t="str">
        <f ca="1">VLOOKUP(RANDBETWEEN(1,6),TipoClima!A:C,3,0)</f>
        <v>Nublado</v>
      </c>
    </row>
    <row r="159" spans="1:10" ht="15.75" thickBot="1" x14ac:dyDescent="0.3">
      <c r="A159" s="8" t="s">
        <v>395</v>
      </c>
      <c r="B159" s="18">
        <v>46191</v>
      </c>
      <c r="C159" s="21">
        <v>0.18131354157678459</v>
      </c>
      <c r="D159" s="11" t="s">
        <v>243</v>
      </c>
      <c r="E159" s="11" t="e">
        <f ca="1">VLOOKUP(RANDBETWEEN(1,8),TipoAccidente!A:C,3,0)</f>
        <v>#N/A</v>
      </c>
      <c r="F159" s="11" t="str">
        <f ca="1">VLOOKUP(RANDBETWEEN(1,8),TipoAutomovilResponsable!A:C,3,0)</f>
        <v>Bicicleta</v>
      </c>
      <c r="G159" s="9">
        <f t="shared" ca="1" si="2"/>
        <v>3</v>
      </c>
      <c r="H159" s="10">
        <v>1</v>
      </c>
      <c r="I159" s="26">
        <v>2</v>
      </c>
      <c r="J159" s="8" t="str">
        <f ca="1">VLOOKUP(RANDBETWEEN(1,6),TipoClima!A:C,3,0)</f>
        <v>Nublado</v>
      </c>
    </row>
    <row r="160" spans="1:10" ht="15.75" thickBot="1" x14ac:dyDescent="0.3">
      <c r="A160" s="12" t="s">
        <v>396</v>
      </c>
      <c r="B160" s="17">
        <v>46032</v>
      </c>
      <c r="C160" s="20">
        <v>0.98607997473081488</v>
      </c>
      <c r="D160" s="15" t="s">
        <v>261</v>
      </c>
      <c r="E160" s="15" t="str">
        <f ca="1">VLOOKUP(RANDBETWEEN(1,8),TipoAccidente!A:C,3,0)</f>
        <v>Colisión con objeto fijo</v>
      </c>
      <c r="F160" s="15" t="str">
        <f ca="1">VLOOKUP(RANDBETWEEN(1,8),TipoAutomovilResponsable!A:C,3,0)</f>
        <v>Bicicleta</v>
      </c>
      <c r="G160" s="13">
        <f t="shared" ca="1" si="2"/>
        <v>3</v>
      </c>
      <c r="H160" s="14">
        <v>3</v>
      </c>
      <c r="I160" s="25">
        <v>0</v>
      </c>
      <c r="J160" s="12" t="str">
        <f ca="1">VLOOKUP(RANDBETWEEN(1,6),TipoClima!A:C,3,0)</f>
        <v>Neblina</v>
      </c>
    </row>
    <row r="161" spans="1:10" ht="15.75" thickBot="1" x14ac:dyDescent="0.3">
      <c r="A161" s="8" t="s">
        <v>397</v>
      </c>
      <c r="B161" s="18">
        <v>46047</v>
      </c>
      <c r="C161" s="21">
        <v>0.1069697875317549</v>
      </c>
      <c r="D161" s="11" t="s">
        <v>50</v>
      </c>
      <c r="E161" s="11" t="str">
        <f ca="1">VLOOKUP(RANDBETWEEN(1,8),TipoAccidente!A:C,3,0)</f>
        <v>Volcamiento</v>
      </c>
      <c r="F161" s="11" t="str">
        <f ca="1">VLOOKUP(RANDBETWEEN(1,8),TipoAutomovilResponsable!A:C,3,0)</f>
        <v>Tractocamión</v>
      </c>
      <c r="G161" s="9">
        <f t="shared" ca="1" si="2"/>
        <v>1</v>
      </c>
      <c r="H161" s="10">
        <v>3</v>
      </c>
      <c r="I161" s="26">
        <v>2</v>
      </c>
      <c r="J161" s="8" t="str">
        <f ca="1">VLOOKUP(RANDBETWEEN(1,6),TipoClima!A:C,3,0)</f>
        <v>Lluvia intensa</v>
      </c>
    </row>
    <row r="162" spans="1:10" ht="15.75" thickBot="1" x14ac:dyDescent="0.3">
      <c r="A162" s="12" t="s">
        <v>398</v>
      </c>
      <c r="B162" s="17">
        <v>46124</v>
      </c>
      <c r="C162" s="20">
        <v>0.29835397501544214</v>
      </c>
      <c r="D162" s="15" t="s">
        <v>245</v>
      </c>
      <c r="E162" s="15" t="str">
        <f ca="1">VLOOKUP(RANDBETWEEN(1,8),TipoAccidente!A:C,3,0)</f>
        <v>Colisión con objeto fijo</v>
      </c>
      <c r="F162" s="15" t="str">
        <f ca="1">VLOOKUP(RANDBETWEEN(1,8),TipoAutomovilResponsable!A:C,3,0)</f>
        <v>Camión</v>
      </c>
      <c r="G162" s="13">
        <f t="shared" ca="1" si="2"/>
        <v>3</v>
      </c>
      <c r="H162" s="14">
        <v>3</v>
      </c>
      <c r="I162" s="25">
        <v>2</v>
      </c>
      <c r="J162" s="12" t="str">
        <f ca="1">VLOOKUP(RANDBETWEEN(1,6),TipoClima!A:C,3,0)</f>
        <v>Lluvia ligera</v>
      </c>
    </row>
    <row r="163" spans="1:10" ht="15.75" thickBot="1" x14ac:dyDescent="0.3">
      <c r="A163" s="8" t="s">
        <v>399</v>
      </c>
      <c r="B163" s="18">
        <v>46024</v>
      </c>
      <c r="C163" s="21">
        <v>0.87386922689813562</v>
      </c>
      <c r="D163" s="11" t="s">
        <v>32</v>
      </c>
      <c r="E163" s="11" t="str">
        <f ca="1">VLOOKUP(RANDBETWEEN(1,8),TipoAccidente!A:C,3,0)</f>
        <v>Volcamiento</v>
      </c>
      <c r="F163" s="11" t="str">
        <f ca="1">VLOOKUP(RANDBETWEEN(1,8),TipoAutomovilResponsable!A:C,3,0)</f>
        <v>Camioneta</v>
      </c>
      <c r="G163" s="9">
        <f t="shared" ca="1" si="2"/>
        <v>1</v>
      </c>
      <c r="H163" s="10">
        <v>1</v>
      </c>
      <c r="I163" s="26">
        <v>1</v>
      </c>
      <c r="J163" s="8" t="str">
        <f ca="1">VLOOKUP(RANDBETWEEN(1,6),TipoClima!A:C,3,0)</f>
        <v>Viento fuerte</v>
      </c>
    </row>
    <row r="164" spans="1:10" ht="15.75" thickBot="1" x14ac:dyDescent="0.3">
      <c r="A164" s="12" t="s">
        <v>400</v>
      </c>
      <c r="B164" s="17">
        <v>46062</v>
      </c>
      <c r="C164" s="20">
        <v>0.81154380850365837</v>
      </c>
      <c r="D164" s="15" t="s">
        <v>90</v>
      </c>
      <c r="E164" s="15" t="str">
        <f ca="1">VLOOKUP(RANDBETWEEN(1,8),TipoAccidente!A:C,3,0)</f>
        <v>Volcamiento</v>
      </c>
      <c r="F164" s="15" t="str">
        <f ca="1">VLOOKUP(RANDBETWEEN(1,8),TipoAutomovilResponsable!A:C,3,0)</f>
        <v>Automóvil</v>
      </c>
      <c r="G164" s="13">
        <f t="shared" ca="1" si="2"/>
        <v>2</v>
      </c>
      <c r="H164" s="14">
        <v>1</v>
      </c>
      <c r="I164" s="25">
        <v>0</v>
      </c>
      <c r="J164" s="12" t="str">
        <f ca="1">VLOOKUP(RANDBETWEEN(1,6),TipoClima!A:C,3,0)</f>
        <v>Neblina</v>
      </c>
    </row>
    <row r="165" spans="1:10" ht="15.75" thickBot="1" x14ac:dyDescent="0.3">
      <c r="A165" s="8" t="s">
        <v>401</v>
      </c>
      <c r="B165" s="18">
        <v>46027</v>
      </c>
      <c r="C165" s="21">
        <v>0.3324716075645987</v>
      </c>
      <c r="D165" s="11" t="s">
        <v>110</v>
      </c>
      <c r="E165" s="11" t="str">
        <f ca="1">VLOOKUP(RANDBETWEEN(1,8),TipoAccidente!A:C,3,0)</f>
        <v>Salida de vía</v>
      </c>
      <c r="F165" s="11" t="str">
        <f ca="1">VLOOKUP(RANDBETWEEN(1,8),TipoAutomovilResponsable!A:C,3,0)</f>
        <v>Automóvil</v>
      </c>
      <c r="G165" s="9">
        <f t="shared" ca="1" si="2"/>
        <v>1</v>
      </c>
      <c r="H165" s="10">
        <v>5</v>
      </c>
      <c r="I165" s="26">
        <v>2</v>
      </c>
      <c r="J165" s="8" t="str">
        <f ca="1">VLOOKUP(RANDBETWEEN(1,6),TipoClima!A:C,3,0)</f>
        <v>Lluvia intensa</v>
      </c>
    </row>
    <row r="166" spans="1:10" ht="15.75" thickBot="1" x14ac:dyDescent="0.3">
      <c r="A166" s="12" t="s">
        <v>402</v>
      </c>
      <c r="B166" s="17">
        <v>46069</v>
      </c>
      <c r="C166" s="20">
        <v>0.33325526734827693</v>
      </c>
      <c r="D166" s="15" t="s">
        <v>44</v>
      </c>
      <c r="E166" s="15" t="e">
        <f ca="1">VLOOKUP(RANDBETWEEN(1,8),TipoAccidente!A:C,3,0)</f>
        <v>#N/A</v>
      </c>
      <c r="F166" s="15" t="str">
        <f ca="1">VLOOKUP(RANDBETWEEN(1,8),TipoAutomovilResponsable!A:C,3,0)</f>
        <v>Bus</v>
      </c>
      <c r="G166" s="13">
        <f t="shared" ca="1" si="2"/>
        <v>1</v>
      </c>
      <c r="H166" s="14">
        <v>5</v>
      </c>
      <c r="I166" s="25">
        <v>2</v>
      </c>
      <c r="J166" s="12" t="str">
        <f ca="1">VLOOKUP(RANDBETWEEN(1,6),TipoClima!A:C,3,0)</f>
        <v>Lluvia ligera</v>
      </c>
    </row>
    <row r="167" spans="1:10" ht="15.75" thickBot="1" x14ac:dyDescent="0.3">
      <c r="A167" s="8" t="s">
        <v>403</v>
      </c>
      <c r="B167" s="18">
        <v>46033</v>
      </c>
      <c r="C167" s="21">
        <v>8.6505828071562485E-2</v>
      </c>
      <c r="D167" s="11" t="s">
        <v>253</v>
      </c>
      <c r="E167" s="11" t="str">
        <f ca="1">VLOOKUP(RANDBETWEEN(1,8),TipoAccidente!A:C,3,0)</f>
        <v>Atropello</v>
      </c>
      <c r="F167" s="11" t="str">
        <f ca="1">VLOOKUP(RANDBETWEEN(1,8),TipoAutomovilResponsable!A:C,3,0)</f>
        <v>Camioneta</v>
      </c>
      <c r="G167" s="9">
        <f t="shared" ca="1" si="2"/>
        <v>2</v>
      </c>
      <c r="H167" s="10">
        <v>1</v>
      </c>
      <c r="I167" s="26">
        <v>1</v>
      </c>
      <c r="J167" s="8" t="str">
        <f ca="1">VLOOKUP(RANDBETWEEN(1,6),TipoClima!A:C,3,0)</f>
        <v>Viento fuerte</v>
      </c>
    </row>
    <row r="168" spans="1:10" ht="15.75" thickBot="1" x14ac:dyDescent="0.3">
      <c r="A168" s="12" t="s">
        <v>404</v>
      </c>
      <c r="B168" s="17">
        <v>46034</v>
      </c>
      <c r="C168" s="20">
        <v>0.90093782818030732</v>
      </c>
      <c r="D168" s="15" t="s">
        <v>255</v>
      </c>
      <c r="E168" s="15" t="e">
        <f ca="1">VLOOKUP(RANDBETWEEN(1,8),TipoAccidente!A:C,3,0)</f>
        <v>#N/A</v>
      </c>
      <c r="F168" s="15" t="str">
        <f ca="1">VLOOKUP(RANDBETWEEN(1,8),TipoAutomovilResponsable!A:C,3,0)</f>
        <v>Bus</v>
      </c>
      <c r="G168" s="13">
        <f t="shared" ca="1" si="2"/>
        <v>1</v>
      </c>
      <c r="H168" s="14">
        <v>1</v>
      </c>
      <c r="I168" s="25">
        <v>2</v>
      </c>
      <c r="J168" s="12" t="str">
        <f ca="1">VLOOKUP(RANDBETWEEN(1,6),TipoClima!A:C,3,0)</f>
        <v>Neblina</v>
      </c>
    </row>
    <row r="169" spans="1:10" ht="15.75" thickBot="1" x14ac:dyDescent="0.3">
      <c r="A169" s="8" t="s">
        <v>405</v>
      </c>
      <c r="B169" s="18">
        <v>46180</v>
      </c>
      <c r="C169" s="21">
        <v>0.97547113824845055</v>
      </c>
      <c r="D169" s="11" t="s">
        <v>249</v>
      </c>
      <c r="E169" s="11" t="e">
        <f ca="1">VLOOKUP(RANDBETWEEN(1,8),TipoAccidente!A:C,3,0)</f>
        <v>#N/A</v>
      </c>
      <c r="F169" s="11" t="str">
        <f ca="1">VLOOKUP(RANDBETWEEN(1,8),TipoAutomovilResponsable!A:C,3,0)</f>
        <v>Bicicleta</v>
      </c>
      <c r="G169" s="9">
        <f t="shared" ca="1" si="2"/>
        <v>3</v>
      </c>
      <c r="H169" s="10">
        <v>5</v>
      </c>
      <c r="I169" s="26">
        <v>2</v>
      </c>
      <c r="J169" s="8" t="str">
        <f ca="1">VLOOKUP(RANDBETWEEN(1,6),TipoClima!A:C,3,0)</f>
        <v>Lluvia intensa</v>
      </c>
    </row>
    <row r="170" spans="1:10" ht="15.75" thickBot="1" x14ac:dyDescent="0.3">
      <c r="A170" s="12" t="s">
        <v>406</v>
      </c>
      <c r="B170" s="17">
        <v>46074</v>
      </c>
      <c r="C170" s="20">
        <v>0.34026671050494051</v>
      </c>
      <c r="D170" s="15" t="s">
        <v>239</v>
      </c>
      <c r="E170" s="15" t="str">
        <f ca="1">VLOOKUP(RANDBETWEEN(1,8),TipoAccidente!A:C,3,0)</f>
        <v>Choque entre vehículos</v>
      </c>
      <c r="F170" s="15" t="str">
        <f ca="1">VLOOKUP(RANDBETWEEN(1,8),TipoAutomovilResponsable!A:C,3,0)</f>
        <v>Bus</v>
      </c>
      <c r="G170" s="13">
        <f t="shared" ca="1" si="2"/>
        <v>3</v>
      </c>
      <c r="H170" s="14">
        <v>2</v>
      </c>
      <c r="I170" s="25">
        <v>0</v>
      </c>
      <c r="J170" s="12" t="str">
        <f ca="1">VLOOKUP(RANDBETWEEN(1,6),TipoClima!A:C,3,0)</f>
        <v>Lluvia intensa</v>
      </c>
    </row>
    <row r="171" spans="1:10" ht="15.75" thickBot="1" x14ac:dyDescent="0.3">
      <c r="A171" s="8" t="s">
        <v>407</v>
      </c>
      <c r="B171" s="18">
        <v>46033</v>
      </c>
      <c r="C171" s="21">
        <v>0.89618041381722369</v>
      </c>
      <c r="D171" s="11" t="s">
        <v>276</v>
      </c>
      <c r="E171" s="11" t="str">
        <f ca="1">VLOOKUP(RANDBETWEEN(1,8),TipoAccidente!A:C,3,0)</f>
        <v>Atropello</v>
      </c>
      <c r="F171" s="11" t="str">
        <f ca="1">VLOOKUP(RANDBETWEEN(1,8),TipoAutomovilResponsable!A:C,3,0)</f>
        <v>Tractocamión</v>
      </c>
      <c r="G171" s="9">
        <f t="shared" ca="1" si="2"/>
        <v>3</v>
      </c>
      <c r="H171" s="10">
        <v>4</v>
      </c>
      <c r="I171" s="26">
        <v>1</v>
      </c>
      <c r="J171" s="8" t="str">
        <f ca="1">VLOOKUP(RANDBETWEEN(1,6),TipoClima!A:C,3,0)</f>
        <v>Neblina</v>
      </c>
    </row>
    <row r="172" spans="1:10" ht="15.75" thickBot="1" x14ac:dyDescent="0.3">
      <c r="A172" s="12" t="s">
        <v>408</v>
      </c>
      <c r="B172" s="17">
        <v>46097</v>
      </c>
      <c r="C172" s="20">
        <v>0.20025663142600159</v>
      </c>
      <c r="D172" s="15" t="s">
        <v>68</v>
      </c>
      <c r="E172" s="15" t="e">
        <f ca="1">VLOOKUP(RANDBETWEEN(1,8),TipoAccidente!A:C,3,0)</f>
        <v>#N/A</v>
      </c>
      <c r="F172" s="15" t="str">
        <f ca="1">VLOOKUP(RANDBETWEEN(1,8),TipoAutomovilResponsable!A:C,3,0)</f>
        <v>Automóvil</v>
      </c>
      <c r="G172" s="13">
        <f t="shared" ca="1" si="2"/>
        <v>3</v>
      </c>
      <c r="H172" s="14">
        <v>3</v>
      </c>
      <c r="I172" s="25">
        <v>1</v>
      </c>
      <c r="J172" s="12" t="str">
        <f ca="1">VLOOKUP(RANDBETWEEN(1,6),TipoClima!A:C,3,0)</f>
        <v>Neblina</v>
      </c>
    </row>
    <row r="173" spans="1:10" ht="15.75" thickBot="1" x14ac:dyDescent="0.3">
      <c r="A173" s="8" t="s">
        <v>409</v>
      </c>
      <c r="B173" s="18">
        <v>46113</v>
      </c>
      <c r="C173" s="21">
        <v>0.61100875163672919</v>
      </c>
      <c r="D173" s="11" t="s">
        <v>78</v>
      </c>
      <c r="E173" s="11" t="e">
        <f ca="1">VLOOKUP(RANDBETWEEN(1,8),TipoAccidente!A:C,3,0)</f>
        <v>#N/A</v>
      </c>
      <c r="F173" s="11" t="str">
        <f ca="1">VLOOKUP(RANDBETWEEN(1,8),TipoAutomovilResponsable!A:C,3,0)</f>
        <v>Camión</v>
      </c>
      <c r="G173" s="9">
        <f t="shared" ca="1" si="2"/>
        <v>1</v>
      </c>
      <c r="H173" s="10">
        <v>4</v>
      </c>
      <c r="I173" s="26">
        <v>1</v>
      </c>
      <c r="J173" s="8" t="str">
        <f ca="1">VLOOKUP(RANDBETWEEN(1,6),TipoClima!A:C,3,0)</f>
        <v>Nublado</v>
      </c>
    </row>
    <row r="174" spans="1:10" ht="15.75" thickBot="1" x14ac:dyDescent="0.3">
      <c r="A174" s="12" t="s">
        <v>410</v>
      </c>
      <c r="B174" s="17">
        <v>46102</v>
      </c>
      <c r="C174" s="20">
        <v>0.19206314549317893</v>
      </c>
      <c r="D174" s="15" t="s">
        <v>106</v>
      </c>
      <c r="E174" s="15" t="str">
        <f ca="1">VLOOKUP(RANDBETWEEN(1,8),TipoAccidente!A:C,3,0)</f>
        <v>Choque entre vehículos</v>
      </c>
      <c r="F174" s="15" t="str">
        <f ca="1">VLOOKUP(RANDBETWEEN(1,8),TipoAutomovilResponsable!A:C,3,0)</f>
        <v>Motocicleta</v>
      </c>
      <c r="G174" s="13">
        <f t="shared" ca="1" si="2"/>
        <v>2</v>
      </c>
      <c r="H174" s="14">
        <v>4</v>
      </c>
      <c r="I174" s="25">
        <v>2</v>
      </c>
      <c r="J174" s="12" t="str">
        <f ca="1">VLOOKUP(RANDBETWEEN(1,6),TipoClima!A:C,3,0)</f>
        <v>Neblina</v>
      </c>
    </row>
    <row r="175" spans="1:10" ht="15.75" thickBot="1" x14ac:dyDescent="0.3">
      <c r="A175" s="8" t="s">
        <v>411</v>
      </c>
      <c r="B175" s="18">
        <v>46208</v>
      </c>
      <c r="C175" s="21">
        <v>0.77447286456818598</v>
      </c>
      <c r="D175" s="11" t="s">
        <v>278</v>
      </c>
      <c r="E175" s="11" t="str">
        <f ca="1">VLOOKUP(RANDBETWEEN(1,8),TipoAccidente!A:C,3,0)</f>
        <v>Atropello</v>
      </c>
      <c r="F175" s="11" t="str">
        <f ca="1">VLOOKUP(RANDBETWEEN(1,8),TipoAutomovilResponsable!A:C,3,0)</f>
        <v>Camión</v>
      </c>
      <c r="G175" s="9">
        <f t="shared" ca="1" si="2"/>
        <v>3</v>
      </c>
      <c r="H175" s="10">
        <v>3</v>
      </c>
      <c r="I175" s="26">
        <v>2</v>
      </c>
      <c r="J175" s="8" t="str">
        <f ca="1">VLOOKUP(RANDBETWEEN(1,6),TipoClima!A:C,3,0)</f>
        <v>Lluvia ligera</v>
      </c>
    </row>
    <row r="176" spans="1:10" ht="15.75" thickBot="1" x14ac:dyDescent="0.3">
      <c r="A176" s="12" t="s">
        <v>412</v>
      </c>
      <c r="B176" s="17">
        <v>46076</v>
      </c>
      <c r="C176" s="20">
        <v>0.8256295379267945</v>
      </c>
      <c r="D176" s="15" t="s">
        <v>48</v>
      </c>
      <c r="E176" s="15" t="str">
        <f ca="1">VLOOKUP(RANDBETWEEN(1,8),TipoAccidente!A:C,3,0)</f>
        <v>Colisión con objeto fijo</v>
      </c>
      <c r="F176" s="15" t="str">
        <f ca="1">VLOOKUP(RANDBETWEEN(1,8),TipoAutomovilResponsable!A:C,3,0)</f>
        <v>Automóvil</v>
      </c>
      <c r="G176" s="13">
        <f t="shared" ca="1" si="2"/>
        <v>1</v>
      </c>
      <c r="H176" s="14">
        <v>4</v>
      </c>
      <c r="I176" s="25">
        <v>1</v>
      </c>
      <c r="J176" s="12" t="str">
        <f ca="1">VLOOKUP(RANDBETWEEN(1,6),TipoClima!A:C,3,0)</f>
        <v>Nublado</v>
      </c>
    </row>
    <row r="177" spans="1:10" ht="15.75" thickBot="1" x14ac:dyDescent="0.3">
      <c r="A177" s="8" t="s">
        <v>413</v>
      </c>
      <c r="B177" s="18">
        <v>46203</v>
      </c>
      <c r="C177" s="21">
        <v>0.64560536036748695</v>
      </c>
      <c r="D177" s="11" t="s">
        <v>12</v>
      </c>
      <c r="E177" s="11" t="str">
        <f ca="1">VLOOKUP(RANDBETWEEN(1,8),TipoAccidente!A:C,3,0)</f>
        <v>Atropello</v>
      </c>
      <c r="F177" s="11" t="str">
        <f ca="1">VLOOKUP(RANDBETWEEN(1,8),TipoAutomovilResponsable!A:C,3,0)</f>
        <v>Camión</v>
      </c>
      <c r="G177" s="9">
        <f t="shared" ca="1" si="2"/>
        <v>3</v>
      </c>
      <c r="H177" s="10">
        <v>2</v>
      </c>
      <c r="I177" s="26">
        <v>2</v>
      </c>
      <c r="J177" s="8" t="str">
        <f ca="1">VLOOKUP(RANDBETWEEN(1,6),TipoClima!A:C,3,0)</f>
        <v>Viento fuerte</v>
      </c>
    </row>
    <row r="178" spans="1:10" ht="15.75" thickBot="1" x14ac:dyDescent="0.3">
      <c r="A178" s="12" t="s">
        <v>414</v>
      </c>
      <c r="B178" s="17">
        <v>46203</v>
      </c>
      <c r="C178" s="20">
        <v>0.93145899408750665</v>
      </c>
      <c r="D178" s="15" t="s">
        <v>242</v>
      </c>
      <c r="E178" s="15" t="str">
        <f ca="1">VLOOKUP(RANDBETWEEN(1,8),TipoAccidente!A:C,3,0)</f>
        <v>Salida de vía</v>
      </c>
      <c r="F178" s="15" t="str">
        <f ca="1">VLOOKUP(RANDBETWEEN(1,8),TipoAutomovilResponsable!A:C,3,0)</f>
        <v>Motocicleta</v>
      </c>
      <c r="G178" s="13">
        <f t="shared" ca="1" si="2"/>
        <v>3</v>
      </c>
      <c r="H178" s="14">
        <v>1</v>
      </c>
      <c r="I178" s="25">
        <v>1</v>
      </c>
      <c r="J178" s="12" t="str">
        <f ca="1">VLOOKUP(RANDBETWEEN(1,6),TipoClima!A:C,3,0)</f>
        <v>Neblina</v>
      </c>
    </row>
    <row r="179" spans="1:10" ht="15.75" thickBot="1" x14ac:dyDescent="0.3">
      <c r="A179" s="8" t="s">
        <v>415</v>
      </c>
      <c r="B179" s="18">
        <v>46120</v>
      </c>
      <c r="C179" s="21">
        <v>0.13533147497395315</v>
      </c>
      <c r="D179" s="11" t="s">
        <v>66</v>
      </c>
      <c r="E179" s="11" t="e">
        <f ca="1">VLOOKUP(RANDBETWEEN(1,8),TipoAccidente!A:C,3,0)</f>
        <v>#N/A</v>
      </c>
      <c r="F179" s="11" t="str">
        <f ca="1">VLOOKUP(RANDBETWEEN(1,8),TipoAutomovilResponsable!A:C,3,0)</f>
        <v>Automóvil</v>
      </c>
      <c r="G179" s="9">
        <f t="shared" ca="1" si="2"/>
        <v>1</v>
      </c>
      <c r="H179" s="10">
        <v>3</v>
      </c>
      <c r="I179" s="26">
        <v>0</v>
      </c>
      <c r="J179" s="8" t="str">
        <f ca="1">VLOOKUP(RANDBETWEEN(1,6),TipoClima!A:C,3,0)</f>
        <v>Soleado</v>
      </c>
    </row>
    <row r="180" spans="1:10" ht="15.75" thickBot="1" x14ac:dyDescent="0.3">
      <c r="A180" s="12" t="s">
        <v>416</v>
      </c>
      <c r="B180" s="17">
        <v>46112</v>
      </c>
      <c r="C180" s="20">
        <v>0.5306724716467851</v>
      </c>
      <c r="D180" s="15" t="s">
        <v>66</v>
      </c>
      <c r="E180" s="15" t="str">
        <f ca="1">VLOOKUP(RANDBETWEEN(1,8),TipoAccidente!A:C,3,0)</f>
        <v>Volcamiento</v>
      </c>
      <c r="F180" s="15" t="str">
        <f ca="1">VLOOKUP(RANDBETWEEN(1,8),TipoAutomovilResponsable!A:C,3,0)</f>
        <v>Taxi</v>
      </c>
      <c r="G180" s="13">
        <f t="shared" ca="1" si="2"/>
        <v>1</v>
      </c>
      <c r="H180" s="14">
        <v>5</v>
      </c>
      <c r="I180" s="25">
        <v>1</v>
      </c>
      <c r="J180" s="12" t="str">
        <f ca="1">VLOOKUP(RANDBETWEEN(1,6),TipoClima!A:C,3,0)</f>
        <v>Nublado</v>
      </c>
    </row>
    <row r="181" spans="1:10" ht="15.75" thickBot="1" x14ac:dyDescent="0.3">
      <c r="A181" s="8" t="s">
        <v>417</v>
      </c>
      <c r="B181" s="18">
        <v>46109</v>
      </c>
      <c r="C181" s="21">
        <v>0.20541766167974784</v>
      </c>
      <c r="D181" s="11" t="s">
        <v>44</v>
      </c>
      <c r="E181" s="11" t="e">
        <f ca="1">VLOOKUP(RANDBETWEEN(1,8),TipoAccidente!A:C,3,0)</f>
        <v>#N/A</v>
      </c>
      <c r="F181" s="11" t="str">
        <f ca="1">VLOOKUP(RANDBETWEEN(1,8),TipoAutomovilResponsable!A:C,3,0)</f>
        <v>Camión</v>
      </c>
      <c r="G181" s="9">
        <f t="shared" ca="1" si="2"/>
        <v>2</v>
      </c>
      <c r="H181" s="10">
        <v>1</v>
      </c>
      <c r="I181" s="26">
        <v>1</v>
      </c>
      <c r="J181" s="8" t="str">
        <f ca="1">VLOOKUP(RANDBETWEEN(1,6),TipoClima!A:C,3,0)</f>
        <v>Nublado</v>
      </c>
    </row>
    <row r="182" spans="1:10" ht="15.75" thickBot="1" x14ac:dyDescent="0.3">
      <c r="A182" s="12" t="s">
        <v>418</v>
      </c>
      <c r="B182" s="17">
        <v>46138</v>
      </c>
      <c r="C182" s="20">
        <v>0.12398344939707717</v>
      </c>
      <c r="D182" s="15" t="s">
        <v>56</v>
      </c>
      <c r="E182" s="15" t="str">
        <f ca="1">VLOOKUP(RANDBETWEEN(1,8),TipoAccidente!A:C,3,0)</f>
        <v>Salida de vía</v>
      </c>
      <c r="F182" s="15" t="str">
        <f ca="1">VLOOKUP(RANDBETWEEN(1,8),TipoAutomovilResponsable!A:C,3,0)</f>
        <v>Tractocamión</v>
      </c>
      <c r="G182" s="13">
        <f t="shared" ca="1" si="2"/>
        <v>2</v>
      </c>
      <c r="H182" s="14">
        <v>5</v>
      </c>
      <c r="I182" s="25">
        <v>0</v>
      </c>
      <c r="J182" s="12" t="str">
        <f ca="1">VLOOKUP(RANDBETWEEN(1,6),TipoClima!A:C,3,0)</f>
        <v>Nublado</v>
      </c>
    </row>
    <row r="183" spans="1:10" ht="15.75" thickBot="1" x14ac:dyDescent="0.3">
      <c r="A183" s="8" t="s">
        <v>419</v>
      </c>
      <c r="B183" s="18">
        <v>46126</v>
      </c>
      <c r="C183" s="21">
        <v>0.84769893021622444</v>
      </c>
      <c r="D183" s="11" t="s">
        <v>80</v>
      </c>
      <c r="E183" s="11" t="str">
        <f ca="1">VLOOKUP(RANDBETWEEN(1,8),TipoAccidente!A:C,3,0)</f>
        <v>Atropello</v>
      </c>
      <c r="F183" s="11" t="str">
        <f ca="1">VLOOKUP(RANDBETWEEN(1,8),TipoAutomovilResponsable!A:C,3,0)</f>
        <v>Bicicleta</v>
      </c>
      <c r="G183" s="9">
        <f t="shared" ca="1" si="2"/>
        <v>2</v>
      </c>
      <c r="H183" s="10">
        <v>5</v>
      </c>
      <c r="I183" s="26">
        <v>1</v>
      </c>
      <c r="J183" s="8" t="str">
        <f ca="1">VLOOKUP(RANDBETWEEN(1,6),TipoClima!A:C,3,0)</f>
        <v>Viento fuerte</v>
      </c>
    </row>
    <row r="184" spans="1:10" ht="15.75" thickBot="1" x14ac:dyDescent="0.3">
      <c r="A184" s="12" t="s">
        <v>420</v>
      </c>
      <c r="B184" s="17">
        <v>46163</v>
      </c>
      <c r="C184" s="20">
        <v>0.63563464110867196</v>
      </c>
      <c r="D184" s="15" t="s">
        <v>256</v>
      </c>
      <c r="E184" s="15" t="str">
        <f ca="1">VLOOKUP(RANDBETWEEN(1,8),TipoAccidente!A:C,3,0)</f>
        <v>Volcamiento</v>
      </c>
      <c r="F184" s="15" t="str">
        <f ca="1">VLOOKUP(RANDBETWEEN(1,8),TipoAutomovilResponsable!A:C,3,0)</f>
        <v>Camión</v>
      </c>
      <c r="G184" s="13">
        <f t="shared" ca="1" si="2"/>
        <v>3</v>
      </c>
      <c r="H184" s="14">
        <v>2</v>
      </c>
      <c r="I184" s="25">
        <v>1</v>
      </c>
      <c r="J184" s="12" t="str">
        <f ca="1">VLOOKUP(RANDBETWEEN(1,6),TipoClima!A:C,3,0)</f>
        <v>Neblina</v>
      </c>
    </row>
    <row r="185" spans="1:10" ht="15.75" thickBot="1" x14ac:dyDescent="0.3">
      <c r="A185" s="8" t="s">
        <v>421</v>
      </c>
      <c r="B185" s="18">
        <v>46170</v>
      </c>
      <c r="C185" s="21">
        <v>0.60541896750645674</v>
      </c>
      <c r="D185" s="11" t="s">
        <v>104</v>
      </c>
      <c r="E185" s="11" t="str">
        <f ca="1">VLOOKUP(RANDBETWEEN(1,8),TipoAccidente!A:C,3,0)</f>
        <v>Choque entre vehículos</v>
      </c>
      <c r="F185" s="11" t="str">
        <f ca="1">VLOOKUP(RANDBETWEEN(1,8),TipoAutomovilResponsable!A:C,3,0)</f>
        <v>Camioneta</v>
      </c>
      <c r="G185" s="9">
        <f t="shared" ca="1" si="2"/>
        <v>3</v>
      </c>
      <c r="H185" s="10">
        <v>5</v>
      </c>
      <c r="I185" s="26">
        <v>1</v>
      </c>
      <c r="J185" s="8" t="str">
        <f ca="1">VLOOKUP(RANDBETWEEN(1,6),TipoClima!A:C,3,0)</f>
        <v>Nublado</v>
      </c>
    </row>
    <row r="186" spans="1:10" ht="15.75" thickBot="1" x14ac:dyDescent="0.3">
      <c r="A186" s="12" t="s">
        <v>422</v>
      </c>
      <c r="B186" s="17">
        <v>46094</v>
      </c>
      <c r="C186" s="20">
        <v>0.75723981584276578</v>
      </c>
      <c r="D186" s="15" t="s">
        <v>96</v>
      </c>
      <c r="E186" s="15" t="str">
        <f ca="1">VLOOKUP(RANDBETWEEN(1,8),TipoAccidente!A:C,3,0)</f>
        <v>Choque entre vehículos</v>
      </c>
      <c r="F186" s="15" t="str">
        <f ca="1">VLOOKUP(RANDBETWEEN(1,8),TipoAutomovilResponsable!A:C,3,0)</f>
        <v>Tractocamión</v>
      </c>
      <c r="G186" s="13">
        <f t="shared" ca="1" si="2"/>
        <v>3</v>
      </c>
      <c r="H186" s="14">
        <v>3</v>
      </c>
      <c r="I186" s="25">
        <v>2</v>
      </c>
      <c r="J186" s="12" t="str">
        <f ca="1">VLOOKUP(RANDBETWEEN(1,6),TipoClima!A:C,3,0)</f>
        <v>Neblina</v>
      </c>
    </row>
    <row r="187" spans="1:10" ht="15.75" thickBot="1" x14ac:dyDescent="0.3">
      <c r="A187" s="8" t="s">
        <v>423</v>
      </c>
      <c r="B187" s="18">
        <v>46167</v>
      </c>
      <c r="C187" s="21">
        <v>0.11841701022552331</v>
      </c>
      <c r="D187" s="11" t="s">
        <v>64</v>
      </c>
      <c r="E187" s="11" t="str">
        <f ca="1">VLOOKUP(RANDBETWEEN(1,8),TipoAccidente!A:C,3,0)</f>
        <v>Salida de vía</v>
      </c>
      <c r="F187" s="11" t="str">
        <f ca="1">VLOOKUP(RANDBETWEEN(1,8),TipoAutomovilResponsable!A:C,3,0)</f>
        <v>Bicicleta</v>
      </c>
      <c r="G187" s="9">
        <f t="shared" ca="1" si="2"/>
        <v>2</v>
      </c>
      <c r="H187" s="10">
        <v>5</v>
      </c>
      <c r="I187" s="26">
        <v>1</v>
      </c>
      <c r="J187" s="8" t="str">
        <f ca="1">VLOOKUP(RANDBETWEEN(1,6),TipoClima!A:C,3,0)</f>
        <v>Lluvia intensa</v>
      </c>
    </row>
    <row r="188" spans="1:10" ht="15.75" thickBot="1" x14ac:dyDescent="0.3">
      <c r="A188" s="12" t="s">
        <v>424</v>
      </c>
      <c r="B188" s="17">
        <v>46203</v>
      </c>
      <c r="C188" s="20">
        <v>0.79240798864591855</v>
      </c>
      <c r="D188" s="15" t="s">
        <v>283</v>
      </c>
      <c r="E188" s="15" t="str">
        <f ca="1">VLOOKUP(RANDBETWEEN(1,8),TipoAccidente!A:C,3,0)</f>
        <v>Volcamiento</v>
      </c>
      <c r="F188" s="15" t="str">
        <f ca="1">VLOOKUP(RANDBETWEEN(1,8),TipoAutomovilResponsable!A:C,3,0)</f>
        <v>Bus</v>
      </c>
      <c r="G188" s="13">
        <f t="shared" ca="1" si="2"/>
        <v>1</v>
      </c>
      <c r="H188" s="14">
        <v>1</v>
      </c>
      <c r="I188" s="25">
        <v>2</v>
      </c>
      <c r="J188" s="12" t="str">
        <f ca="1">VLOOKUP(RANDBETWEEN(1,6),TipoClima!A:C,3,0)</f>
        <v>Viento fuerte</v>
      </c>
    </row>
    <row r="189" spans="1:10" ht="15.75" thickBot="1" x14ac:dyDescent="0.3">
      <c r="A189" s="8" t="s">
        <v>425</v>
      </c>
      <c r="B189" s="18">
        <v>46145</v>
      </c>
      <c r="C189" s="21">
        <v>0.20479177765816037</v>
      </c>
      <c r="D189" s="11" t="s">
        <v>98</v>
      </c>
      <c r="E189" s="11" t="e">
        <f ca="1">VLOOKUP(RANDBETWEEN(1,8),TipoAccidente!A:C,3,0)</f>
        <v>#N/A</v>
      </c>
      <c r="F189" s="11" t="str">
        <f ca="1">VLOOKUP(RANDBETWEEN(1,8),TipoAutomovilResponsable!A:C,3,0)</f>
        <v>Bus</v>
      </c>
      <c r="G189" s="9">
        <f t="shared" ca="1" si="2"/>
        <v>2</v>
      </c>
      <c r="H189" s="10">
        <v>5</v>
      </c>
      <c r="I189" s="26">
        <v>2</v>
      </c>
      <c r="J189" s="8" t="str">
        <f ca="1">VLOOKUP(RANDBETWEEN(1,6),TipoClima!A:C,3,0)</f>
        <v>Viento fuerte</v>
      </c>
    </row>
    <row r="190" spans="1:10" ht="15.75" thickBot="1" x14ac:dyDescent="0.3">
      <c r="A190" s="12" t="s">
        <v>426</v>
      </c>
      <c r="B190" s="17">
        <v>46065</v>
      </c>
      <c r="C190" s="20">
        <v>0.56554255392183184</v>
      </c>
      <c r="D190" s="15" t="s">
        <v>249</v>
      </c>
      <c r="E190" s="15" t="str">
        <f ca="1">VLOOKUP(RANDBETWEEN(1,8),TipoAccidente!A:C,3,0)</f>
        <v>Colisión con objeto fijo</v>
      </c>
      <c r="F190" s="15" t="str">
        <f ca="1">VLOOKUP(RANDBETWEEN(1,8),TipoAutomovilResponsable!A:C,3,0)</f>
        <v>Taxi</v>
      </c>
      <c r="G190" s="13">
        <f t="shared" ca="1" si="2"/>
        <v>1</v>
      </c>
      <c r="H190" s="14">
        <v>2</v>
      </c>
      <c r="I190" s="25">
        <v>0</v>
      </c>
      <c r="J190" s="12" t="str">
        <f ca="1">VLOOKUP(RANDBETWEEN(1,6),TipoClima!A:C,3,0)</f>
        <v>Viento fuerte</v>
      </c>
    </row>
    <row r="191" spans="1:10" ht="15.75" thickBot="1" x14ac:dyDescent="0.3">
      <c r="A191" s="8" t="s">
        <v>427</v>
      </c>
      <c r="B191" s="18">
        <v>46055</v>
      </c>
      <c r="C191" s="21">
        <v>0.50276266131283243</v>
      </c>
      <c r="D191" s="11" t="s">
        <v>92</v>
      </c>
      <c r="E191" s="11" t="str">
        <f ca="1">VLOOKUP(RANDBETWEEN(1,8),TipoAccidente!A:C,3,0)</f>
        <v>Choque entre vehículos</v>
      </c>
      <c r="F191" s="11" t="str">
        <f ca="1">VLOOKUP(RANDBETWEEN(1,8),TipoAutomovilResponsable!A:C,3,0)</f>
        <v>Tractocamión</v>
      </c>
      <c r="G191" s="9">
        <f t="shared" ca="1" si="2"/>
        <v>1</v>
      </c>
      <c r="H191" s="10">
        <v>1</v>
      </c>
      <c r="I191" s="26">
        <v>1</v>
      </c>
      <c r="J191" s="8" t="str">
        <f ca="1">VLOOKUP(RANDBETWEEN(1,6),TipoClima!A:C,3,0)</f>
        <v>Lluvia intensa</v>
      </c>
    </row>
    <row r="192" spans="1:10" ht="15.75" thickBot="1" x14ac:dyDescent="0.3">
      <c r="A192" s="12" t="s">
        <v>428</v>
      </c>
      <c r="B192" s="17">
        <v>46094</v>
      </c>
      <c r="C192" s="20">
        <v>0.56607293190799568</v>
      </c>
      <c r="D192" s="15" t="s">
        <v>78</v>
      </c>
      <c r="E192" s="15" t="str">
        <f ca="1">VLOOKUP(RANDBETWEEN(1,8),TipoAccidente!A:C,3,0)</f>
        <v>Volcamiento</v>
      </c>
      <c r="F192" s="15" t="str">
        <f ca="1">VLOOKUP(RANDBETWEEN(1,8),TipoAutomovilResponsable!A:C,3,0)</f>
        <v>Camioneta</v>
      </c>
      <c r="G192" s="13">
        <f t="shared" ca="1" si="2"/>
        <v>1</v>
      </c>
      <c r="H192" s="14">
        <v>4</v>
      </c>
      <c r="I192" s="25">
        <v>0</v>
      </c>
      <c r="J192" s="12" t="str">
        <f ca="1">VLOOKUP(RANDBETWEEN(1,6),TipoClima!A:C,3,0)</f>
        <v>Soleado</v>
      </c>
    </row>
    <row r="193" spans="1:10" ht="15.75" thickBot="1" x14ac:dyDescent="0.3">
      <c r="A193" s="8" t="s">
        <v>429</v>
      </c>
      <c r="B193" s="18">
        <v>46109</v>
      </c>
      <c r="C193" s="21">
        <v>5.9247859346116982E-2</v>
      </c>
      <c r="D193" s="11" t="s">
        <v>68</v>
      </c>
      <c r="E193" s="11" t="str">
        <f ca="1">VLOOKUP(RANDBETWEEN(1,8),TipoAccidente!A:C,3,0)</f>
        <v>Salida de vía</v>
      </c>
      <c r="F193" s="11" t="str">
        <f ca="1">VLOOKUP(RANDBETWEEN(1,8),TipoAutomovilResponsable!A:C,3,0)</f>
        <v>Bus</v>
      </c>
      <c r="G193" s="9">
        <f t="shared" ca="1" si="2"/>
        <v>3</v>
      </c>
      <c r="H193" s="10">
        <v>2</v>
      </c>
      <c r="I193" s="26">
        <v>2</v>
      </c>
      <c r="J193" s="8" t="str">
        <f ca="1">VLOOKUP(RANDBETWEEN(1,6),TipoClima!A:C,3,0)</f>
        <v>Soleado</v>
      </c>
    </row>
    <row r="194" spans="1:10" ht="15.75" thickBot="1" x14ac:dyDescent="0.3">
      <c r="A194" s="12" t="s">
        <v>430</v>
      </c>
      <c r="B194" s="17">
        <v>46161</v>
      </c>
      <c r="C194" s="20">
        <v>0.65274264690423756</v>
      </c>
      <c r="D194" s="15" t="s">
        <v>271</v>
      </c>
      <c r="E194" s="15" t="e">
        <f ca="1">VLOOKUP(RANDBETWEEN(1,8),TipoAccidente!A:C,3,0)</f>
        <v>#N/A</v>
      </c>
      <c r="F194" s="15" t="str">
        <f ca="1">VLOOKUP(RANDBETWEEN(1,8),TipoAutomovilResponsable!A:C,3,0)</f>
        <v>Bus</v>
      </c>
      <c r="G194" s="13">
        <f t="shared" ca="1" si="2"/>
        <v>1</v>
      </c>
      <c r="H194" s="14">
        <v>2</v>
      </c>
      <c r="I194" s="25">
        <v>1</v>
      </c>
      <c r="J194" s="12" t="str">
        <f ca="1">VLOOKUP(RANDBETWEEN(1,6),TipoClima!A:C,3,0)</f>
        <v>Neblina</v>
      </c>
    </row>
    <row r="195" spans="1:10" ht="15.75" thickBot="1" x14ac:dyDescent="0.3">
      <c r="A195" s="8" t="s">
        <v>431</v>
      </c>
      <c r="B195" s="18">
        <v>46194</v>
      </c>
      <c r="C195" s="21">
        <v>0.83821331509738195</v>
      </c>
      <c r="D195" s="11" t="s">
        <v>88</v>
      </c>
      <c r="E195" s="11" t="str">
        <f ca="1">VLOOKUP(RANDBETWEEN(1,8),TipoAccidente!A:C,3,0)</f>
        <v>Choque entre vehículos</v>
      </c>
      <c r="F195" s="11" t="str">
        <f ca="1">VLOOKUP(RANDBETWEEN(1,8),TipoAutomovilResponsable!A:C,3,0)</f>
        <v>Taxi</v>
      </c>
      <c r="G195" s="9">
        <f t="shared" ref="G195:G258" ca="1" si="3">RANDBETWEEN(1,3)</f>
        <v>1</v>
      </c>
      <c r="H195" s="10">
        <v>3</v>
      </c>
      <c r="I195" s="26">
        <v>1</v>
      </c>
      <c r="J195" s="8" t="str">
        <f ca="1">VLOOKUP(RANDBETWEEN(1,6),TipoClima!A:C,3,0)</f>
        <v>Soleado</v>
      </c>
    </row>
    <row r="196" spans="1:10" ht="15.75" thickBot="1" x14ac:dyDescent="0.3">
      <c r="A196" s="12" t="s">
        <v>432</v>
      </c>
      <c r="B196" s="17">
        <v>46083</v>
      </c>
      <c r="C196" s="20">
        <v>0.61248950819238712</v>
      </c>
      <c r="D196" s="15" t="s">
        <v>269</v>
      </c>
      <c r="E196" s="15" t="str">
        <f ca="1">VLOOKUP(RANDBETWEEN(1,8),TipoAccidente!A:C,3,0)</f>
        <v>Choque entre vehículos</v>
      </c>
      <c r="F196" s="15" t="str">
        <f ca="1">VLOOKUP(RANDBETWEEN(1,8),TipoAutomovilResponsable!A:C,3,0)</f>
        <v>Camioneta</v>
      </c>
      <c r="G196" s="13">
        <f t="shared" ca="1" si="3"/>
        <v>2</v>
      </c>
      <c r="H196" s="14">
        <v>4</v>
      </c>
      <c r="I196" s="25">
        <v>0</v>
      </c>
      <c r="J196" s="12" t="str">
        <f ca="1">VLOOKUP(RANDBETWEEN(1,6),TipoClima!A:C,3,0)</f>
        <v>Lluvia ligera</v>
      </c>
    </row>
    <row r="197" spans="1:10" ht="15.75" thickBot="1" x14ac:dyDescent="0.3">
      <c r="A197" s="8" t="s">
        <v>433</v>
      </c>
      <c r="B197" s="18">
        <v>46065</v>
      </c>
      <c r="C197" s="21">
        <v>0.85044171170574656</v>
      </c>
      <c r="D197" s="11" t="s">
        <v>282</v>
      </c>
      <c r="E197" s="11" t="str">
        <f ca="1">VLOOKUP(RANDBETWEEN(1,8),TipoAccidente!A:C,3,0)</f>
        <v>Atropello</v>
      </c>
      <c r="F197" s="11" t="str">
        <f ca="1">VLOOKUP(RANDBETWEEN(1,8),TipoAutomovilResponsable!A:C,3,0)</f>
        <v>Bus</v>
      </c>
      <c r="G197" s="9">
        <f t="shared" ca="1" si="3"/>
        <v>2</v>
      </c>
      <c r="H197" s="10">
        <v>1</v>
      </c>
      <c r="I197" s="26">
        <v>1</v>
      </c>
      <c r="J197" s="8" t="str">
        <f ca="1">VLOOKUP(RANDBETWEEN(1,6),TipoClima!A:C,3,0)</f>
        <v>Viento fuerte</v>
      </c>
    </row>
    <row r="198" spans="1:10" ht="15.75" thickBot="1" x14ac:dyDescent="0.3">
      <c r="A198" s="12" t="s">
        <v>434</v>
      </c>
      <c r="B198" s="17">
        <v>46202</v>
      </c>
      <c r="C198" s="20">
        <v>5.1454208283474356E-2</v>
      </c>
      <c r="D198" s="15" t="s">
        <v>282</v>
      </c>
      <c r="E198" s="15" t="str">
        <f ca="1">VLOOKUP(RANDBETWEEN(1,8),TipoAccidente!A:C,3,0)</f>
        <v>Volcamiento</v>
      </c>
      <c r="F198" s="15" t="str">
        <f ca="1">VLOOKUP(RANDBETWEEN(1,8),TipoAutomovilResponsable!A:C,3,0)</f>
        <v>Camión</v>
      </c>
      <c r="G198" s="13">
        <f t="shared" ca="1" si="3"/>
        <v>1</v>
      </c>
      <c r="H198" s="14">
        <v>3</v>
      </c>
      <c r="I198" s="25">
        <v>2</v>
      </c>
      <c r="J198" s="12" t="str">
        <f ca="1">VLOOKUP(RANDBETWEEN(1,6),TipoClima!A:C,3,0)</f>
        <v>Soleado</v>
      </c>
    </row>
    <row r="199" spans="1:10" ht="15.75" thickBot="1" x14ac:dyDescent="0.3">
      <c r="A199" s="8" t="s">
        <v>435</v>
      </c>
      <c r="B199" s="18">
        <v>46142</v>
      </c>
      <c r="C199" s="21">
        <v>0.52374981790643038</v>
      </c>
      <c r="D199" s="11" t="s">
        <v>243</v>
      </c>
      <c r="E199" s="11" t="e">
        <f ca="1">VLOOKUP(RANDBETWEEN(1,8),TipoAccidente!A:C,3,0)</f>
        <v>#N/A</v>
      </c>
      <c r="F199" s="11" t="str">
        <f ca="1">VLOOKUP(RANDBETWEEN(1,8),TipoAutomovilResponsable!A:C,3,0)</f>
        <v>Tractocamión</v>
      </c>
      <c r="G199" s="9">
        <f t="shared" ca="1" si="3"/>
        <v>3</v>
      </c>
      <c r="H199" s="10">
        <v>4</v>
      </c>
      <c r="I199" s="26">
        <v>0</v>
      </c>
      <c r="J199" s="8" t="str">
        <f ca="1">VLOOKUP(RANDBETWEEN(1,6),TipoClima!A:C,3,0)</f>
        <v>Lluvia intensa</v>
      </c>
    </row>
    <row r="200" spans="1:10" ht="15.75" thickBot="1" x14ac:dyDescent="0.3">
      <c r="A200" s="12" t="s">
        <v>436</v>
      </c>
      <c r="B200" s="17">
        <v>46189</v>
      </c>
      <c r="C200" s="20">
        <v>1.4419051325227916E-2</v>
      </c>
      <c r="D200" s="15" t="s">
        <v>255</v>
      </c>
      <c r="E200" s="15" t="e">
        <f ca="1">VLOOKUP(RANDBETWEEN(1,8),TipoAccidente!A:C,3,0)</f>
        <v>#N/A</v>
      </c>
      <c r="F200" s="15" t="str">
        <f ca="1">VLOOKUP(RANDBETWEEN(1,8),TipoAutomovilResponsable!A:C,3,0)</f>
        <v>Tractocamión</v>
      </c>
      <c r="G200" s="13">
        <f t="shared" ca="1" si="3"/>
        <v>2</v>
      </c>
      <c r="H200" s="14">
        <v>3</v>
      </c>
      <c r="I200" s="25">
        <v>0</v>
      </c>
      <c r="J200" s="12" t="str">
        <f ca="1">VLOOKUP(RANDBETWEEN(1,6),TipoClima!A:C,3,0)</f>
        <v>Nublado</v>
      </c>
    </row>
    <row r="201" spans="1:10" ht="15.75" thickBot="1" x14ac:dyDescent="0.3">
      <c r="A201" s="8" t="s">
        <v>437</v>
      </c>
      <c r="B201" s="18">
        <v>46146</v>
      </c>
      <c r="C201" s="21">
        <v>0.97410966998309245</v>
      </c>
      <c r="D201" s="11" t="s">
        <v>30</v>
      </c>
      <c r="E201" s="11" t="e">
        <f ca="1">VLOOKUP(RANDBETWEEN(1,8),TipoAccidente!A:C,3,0)</f>
        <v>#N/A</v>
      </c>
      <c r="F201" s="11" t="str">
        <f ca="1">VLOOKUP(RANDBETWEEN(1,8),TipoAutomovilResponsable!A:C,3,0)</f>
        <v>Bicicleta</v>
      </c>
      <c r="G201" s="9">
        <f t="shared" ca="1" si="3"/>
        <v>3</v>
      </c>
      <c r="H201" s="10">
        <v>3</v>
      </c>
      <c r="I201" s="26">
        <v>0</v>
      </c>
      <c r="J201" s="8" t="str">
        <f ca="1">VLOOKUP(RANDBETWEEN(1,6),TipoClima!A:C,3,0)</f>
        <v>Lluvia intensa</v>
      </c>
    </row>
    <row r="202" spans="1:10" ht="15.75" thickBot="1" x14ac:dyDescent="0.3">
      <c r="A202" s="12" t="s">
        <v>438</v>
      </c>
      <c r="B202" s="17">
        <v>46055</v>
      </c>
      <c r="C202" s="20">
        <v>0.32499881711239975</v>
      </c>
      <c r="D202" s="15" t="s">
        <v>246</v>
      </c>
      <c r="E202" s="15" t="str">
        <f ca="1">VLOOKUP(RANDBETWEEN(1,8),TipoAccidente!A:C,3,0)</f>
        <v>Colisión con objeto fijo</v>
      </c>
      <c r="F202" s="15" t="str">
        <f ca="1">VLOOKUP(RANDBETWEEN(1,8),TipoAutomovilResponsable!A:C,3,0)</f>
        <v>Camioneta</v>
      </c>
      <c r="G202" s="13">
        <f t="shared" ca="1" si="3"/>
        <v>3</v>
      </c>
      <c r="H202" s="14">
        <v>1</v>
      </c>
      <c r="I202" s="25">
        <v>2</v>
      </c>
      <c r="J202" s="12" t="str">
        <f ca="1">VLOOKUP(RANDBETWEEN(1,6),TipoClima!A:C,3,0)</f>
        <v>Neblina</v>
      </c>
    </row>
    <row r="203" spans="1:10" ht="15.75" thickBot="1" x14ac:dyDescent="0.3">
      <c r="A203" s="8" t="s">
        <v>439</v>
      </c>
      <c r="B203" s="18">
        <v>46140</v>
      </c>
      <c r="C203" s="21">
        <v>0.39410956525701724</v>
      </c>
      <c r="D203" s="11" t="s">
        <v>239</v>
      </c>
      <c r="E203" s="11" t="str">
        <f ca="1">VLOOKUP(RANDBETWEEN(1,8),TipoAccidente!A:C,3,0)</f>
        <v>Volcamiento</v>
      </c>
      <c r="F203" s="11" t="str">
        <f ca="1">VLOOKUP(RANDBETWEEN(1,8),TipoAutomovilResponsable!A:C,3,0)</f>
        <v>Taxi</v>
      </c>
      <c r="G203" s="9">
        <f t="shared" ca="1" si="3"/>
        <v>3</v>
      </c>
      <c r="H203" s="10">
        <v>1</v>
      </c>
      <c r="I203" s="26">
        <v>2</v>
      </c>
      <c r="J203" s="8" t="str">
        <f ca="1">VLOOKUP(RANDBETWEEN(1,6),TipoClima!A:C,3,0)</f>
        <v>Nublado</v>
      </c>
    </row>
    <row r="204" spans="1:10" ht="15.75" thickBot="1" x14ac:dyDescent="0.3">
      <c r="A204" s="12" t="s">
        <v>440</v>
      </c>
      <c r="B204" s="17">
        <v>46110</v>
      </c>
      <c r="C204" s="20">
        <v>0.44321165951860442</v>
      </c>
      <c r="D204" s="15" t="s">
        <v>263</v>
      </c>
      <c r="E204" s="15" t="str">
        <f ca="1">VLOOKUP(RANDBETWEEN(1,8),TipoAccidente!A:C,3,0)</f>
        <v>Colisión con objeto fijo</v>
      </c>
      <c r="F204" s="15" t="str">
        <f ca="1">VLOOKUP(RANDBETWEEN(1,8),TipoAutomovilResponsable!A:C,3,0)</f>
        <v>Bus</v>
      </c>
      <c r="G204" s="13">
        <f t="shared" ca="1" si="3"/>
        <v>1</v>
      </c>
      <c r="H204" s="14">
        <v>4</v>
      </c>
      <c r="I204" s="25">
        <v>2</v>
      </c>
      <c r="J204" s="12" t="str">
        <f ca="1">VLOOKUP(RANDBETWEEN(1,6),TipoClima!A:C,3,0)</f>
        <v>Lluvia ligera</v>
      </c>
    </row>
    <row r="205" spans="1:10" ht="15.75" thickBot="1" x14ac:dyDescent="0.3">
      <c r="A205" s="8" t="s">
        <v>441</v>
      </c>
      <c r="B205" s="18">
        <v>46063</v>
      </c>
      <c r="C205" s="21">
        <v>0.96124139056215574</v>
      </c>
      <c r="D205" s="11" t="s">
        <v>34</v>
      </c>
      <c r="E205" s="11" t="e">
        <f ca="1">VLOOKUP(RANDBETWEEN(1,8),TipoAccidente!A:C,3,0)</f>
        <v>#N/A</v>
      </c>
      <c r="F205" s="11" t="str">
        <f ca="1">VLOOKUP(RANDBETWEEN(1,8),TipoAutomovilResponsable!A:C,3,0)</f>
        <v>Automóvil</v>
      </c>
      <c r="G205" s="9">
        <f t="shared" ca="1" si="3"/>
        <v>3</v>
      </c>
      <c r="H205" s="10">
        <v>2</v>
      </c>
      <c r="I205" s="26">
        <v>1</v>
      </c>
      <c r="J205" s="8" t="str">
        <f ca="1">VLOOKUP(RANDBETWEEN(1,6),TipoClima!A:C,3,0)</f>
        <v>Soleado</v>
      </c>
    </row>
    <row r="206" spans="1:10" ht="15.75" thickBot="1" x14ac:dyDescent="0.3">
      <c r="A206" s="12" t="s">
        <v>442</v>
      </c>
      <c r="B206" s="17">
        <v>46182</v>
      </c>
      <c r="C206" s="20">
        <v>0.16587675620634867</v>
      </c>
      <c r="D206" s="15" t="s">
        <v>282</v>
      </c>
      <c r="E206" s="15" t="e">
        <f ca="1">VLOOKUP(RANDBETWEEN(1,8),TipoAccidente!A:C,3,0)</f>
        <v>#N/A</v>
      </c>
      <c r="F206" s="15" t="str">
        <f ca="1">VLOOKUP(RANDBETWEEN(1,8),TipoAutomovilResponsable!A:C,3,0)</f>
        <v>Bicicleta</v>
      </c>
      <c r="G206" s="13">
        <f t="shared" ca="1" si="3"/>
        <v>1</v>
      </c>
      <c r="H206" s="14">
        <v>2</v>
      </c>
      <c r="I206" s="25">
        <v>1</v>
      </c>
      <c r="J206" s="12" t="str">
        <f ca="1">VLOOKUP(RANDBETWEEN(1,6),TipoClima!A:C,3,0)</f>
        <v>Lluvia ligera</v>
      </c>
    </row>
    <row r="207" spans="1:10" ht="15.75" thickBot="1" x14ac:dyDescent="0.3">
      <c r="A207" s="8" t="s">
        <v>443</v>
      </c>
      <c r="B207" s="18">
        <v>46168</v>
      </c>
      <c r="C207" s="21">
        <v>0.88245303904449324</v>
      </c>
      <c r="D207" s="11" t="s">
        <v>285</v>
      </c>
      <c r="E207" s="11" t="e">
        <f ca="1">VLOOKUP(RANDBETWEEN(1,8),TipoAccidente!A:C,3,0)</f>
        <v>#N/A</v>
      </c>
      <c r="F207" s="11" t="str">
        <f ca="1">VLOOKUP(RANDBETWEEN(1,8),TipoAutomovilResponsable!A:C,3,0)</f>
        <v>Bus</v>
      </c>
      <c r="G207" s="9">
        <f t="shared" ca="1" si="3"/>
        <v>1</v>
      </c>
      <c r="H207" s="10">
        <v>3</v>
      </c>
      <c r="I207" s="26">
        <v>1</v>
      </c>
      <c r="J207" s="8" t="str">
        <f ca="1">VLOOKUP(RANDBETWEEN(1,6),TipoClima!A:C,3,0)</f>
        <v>Lluvia ligera</v>
      </c>
    </row>
    <row r="208" spans="1:10" ht="15.75" thickBot="1" x14ac:dyDescent="0.3">
      <c r="A208" s="12" t="s">
        <v>444</v>
      </c>
      <c r="B208" s="17">
        <v>46119</v>
      </c>
      <c r="C208" s="20">
        <v>0.75085787554982597</v>
      </c>
      <c r="D208" s="15" t="s">
        <v>267</v>
      </c>
      <c r="E208" s="15" t="e">
        <f ca="1">VLOOKUP(RANDBETWEEN(1,8),TipoAccidente!A:C,3,0)</f>
        <v>#N/A</v>
      </c>
      <c r="F208" s="15" t="str">
        <f ca="1">VLOOKUP(RANDBETWEEN(1,8),TipoAutomovilResponsable!A:C,3,0)</f>
        <v>Bus</v>
      </c>
      <c r="G208" s="13">
        <f t="shared" ca="1" si="3"/>
        <v>2</v>
      </c>
      <c r="H208" s="14">
        <v>2</v>
      </c>
      <c r="I208" s="25">
        <v>1</v>
      </c>
      <c r="J208" s="12" t="str">
        <f ca="1">VLOOKUP(RANDBETWEEN(1,6),TipoClima!A:C,3,0)</f>
        <v>Lluvia intensa</v>
      </c>
    </row>
    <row r="209" spans="1:10" ht="15.75" thickBot="1" x14ac:dyDescent="0.3">
      <c r="A209" s="8" t="s">
        <v>445</v>
      </c>
      <c r="B209" s="18">
        <v>46060</v>
      </c>
      <c r="C209" s="21">
        <v>0.61150703446153543</v>
      </c>
      <c r="D209" s="11" t="s">
        <v>265</v>
      </c>
      <c r="E209" s="11" t="e">
        <f ca="1">VLOOKUP(RANDBETWEEN(1,8),TipoAccidente!A:C,3,0)</f>
        <v>#N/A</v>
      </c>
      <c r="F209" s="11" t="str">
        <f ca="1">VLOOKUP(RANDBETWEEN(1,8),TipoAutomovilResponsable!A:C,3,0)</f>
        <v>Camión</v>
      </c>
      <c r="G209" s="9">
        <f t="shared" ca="1" si="3"/>
        <v>1</v>
      </c>
      <c r="H209" s="10">
        <v>2</v>
      </c>
      <c r="I209" s="26">
        <v>2</v>
      </c>
      <c r="J209" s="8" t="str">
        <f ca="1">VLOOKUP(RANDBETWEEN(1,6),TipoClima!A:C,3,0)</f>
        <v>Soleado</v>
      </c>
    </row>
    <row r="210" spans="1:10" ht="15.75" thickBot="1" x14ac:dyDescent="0.3">
      <c r="A210" s="12" t="s">
        <v>446</v>
      </c>
      <c r="B210" s="17">
        <v>46102</v>
      </c>
      <c r="C210" s="20">
        <v>0.65410757231879579</v>
      </c>
      <c r="D210" s="15" t="s">
        <v>253</v>
      </c>
      <c r="E210" s="15" t="str">
        <f ca="1">VLOOKUP(RANDBETWEEN(1,8),TipoAccidente!A:C,3,0)</f>
        <v>Atropello</v>
      </c>
      <c r="F210" s="15" t="str">
        <f ca="1">VLOOKUP(RANDBETWEEN(1,8),TipoAutomovilResponsable!A:C,3,0)</f>
        <v>Bus</v>
      </c>
      <c r="G210" s="13">
        <f t="shared" ca="1" si="3"/>
        <v>1</v>
      </c>
      <c r="H210" s="14">
        <v>1</v>
      </c>
      <c r="I210" s="25">
        <v>2</v>
      </c>
      <c r="J210" s="12" t="str">
        <f ca="1">VLOOKUP(RANDBETWEEN(1,6),TipoClima!A:C,3,0)</f>
        <v>Nublado</v>
      </c>
    </row>
    <row r="211" spans="1:10" ht="15.75" thickBot="1" x14ac:dyDescent="0.3">
      <c r="A211" s="8" t="s">
        <v>447</v>
      </c>
      <c r="B211" s="18">
        <v>46075</v>
      </c>
      <c r="C211" s="21">
        <v>0.84901110786126111</v>
      </c>
      <c r="D211" s="11" t="s">
        <v>254</v>
      </c>
      <c r="E211" s="11" t="str">
        <f ca="1">VLOOKUP(RANDBETWEEN(1,8),TipoAccidente!A:C,3,0)</f>
        <v>Atropello</v>
      </c>
      <c r="F211" s="11" t="str">
        <f ca="1">VLOOKUP(RANDBETWEEN(1,8),TipoAutomovilResponsable!A:C,3,0)</f>
        <v>Automóvil</v>
      </c>
      <c r="G211" s="9">
        <f t="shared" ca="1" si="3"/>
        <v>1</v>
      </c>
      <c r="H211" s="10">
        <v>4</v>
      </c>
      <c r="I211" s="26">
        <v>0</v>
      </c>
      <c r="J211" s="8" t="str">
        <f ca="1">VLOOKUP(RANDBETWEEN(1,6),TipoClima!A:C,3,0)</f>
        <v>Viento fuerte</v>
      </c>
    </row>
    <row r="212" spans="1:10" ht="15.75" thickBot="1" x14ac:dyDescent="0.3">
      <c r="A212" s="12" t="s">
        <v>448</v>
      </c>
      <c r="B212" s="17">
        <v>46065</v>
      </c>
      <c r="C212" s="20">
        <v>0.74472461127428491</v>
      </c>
      <c r="D212" s="15" t="s">
        <v>104</v>
      </c>
      <c r="E212" s="15" t="str">
        <f ca="1">VLOOKUP(RANDBETWEEN(1,8),TipoAccidente!A:C,3,0)</f>
        <v>Salida de vía</v>
      </c>
      <c r="F212" s="15" t="str">
        <f ca="1">VLOOKUP(RANDBETWEEN(1,8),TipoAutomovilResponsable!A:C,3,0)</f>
        <v>Tractocamión</v>
      </c>
      <c r="G212" s="13">
        <f t="shared" ca="1" si="3"/>
        <v>2</v>
      </c>
      <c r="H212" s="14">
        <v>4</v>
      </c>
      <c r="I212" s="25">
        <v>1</v>
      </c>
      <c r="J212" s="12" t="str">
        <f ca="1">VLOOKUP(RANDBETWEEN(1,6),TipoClima!A:C,3,0)</f>
        <v>Lluvia ligera</v>
      </c>
    </row>
    <row r="213" spans="1:10" ht="15.75" thickBot="1" x14ac:dyDescent="0.3">
      <c r="A213" s="8" t="s">
        <v>449</v>
      </c>
      <c r="B213" s="18">
        <v>46135</v>
      </c>
      <c r="C213" s="21">
        <v>0.55276126921801472</v>
      </c>
      <c r="D213" s="11" t="s">
        <v>240</v>
      </c>
      <c r="E213" s="11" t="str">
        <f ca="1">VLOOKUP(RANDBETWEEN(1,8),TipoAccidente!A:C,3,0)</f>
        <v>Salida de vía</v>
      </c>
      <c r="F213" s="11" t="str">
        <f ca="1">VLOOKUP(RANDBETWEEN(1,8),TipoAutomovilResponsable!A:C,3,0)</f>
        <v>Bicicleta</v>
      </c>
      <c r="G213" s="9">
        <f t="shared" ca="1" si="3"/>
        <v>3</v>
      </c>
      <c r="H213" s="10">
        <v>1</v>
      </c>
      <c r="I213" s="26">
        <v>1</v>
      </c>
      <c r="J213" s="8" t="str">
        <f ca="1">VLOOKUP(RANDBETWEEN(1,6),TipoClima!A:C,3,0)</f>
        <v>Nublado</v>
      </c>
    </row>
    <row r="214" spans="1:10" ht="15.75" thickBot="1" x14ac:dyDescent="0.3">
      <c r="A214" s="12" t="s">
        <v>450</v>
      </c>
      <c r="B214" s="17">
        <v>46159</v>
      </c>
      <c r="C214" s="20">
        <v>0.55390069794235341</v>
      </c>
      <c r="D214" s="15" t="s">
        <v>268</v>
      </c>
      <c r="E214" s="15" t="str">
        <f ca="1">VLOOKUP(RANDBETWEEN(1,8),TipoAccidente!A:C,3,0)</f>
        <v>Atropello</v>
      </c>
      <c r="F214" s="15" t="str">
        <f ca="1">VLOOKUP(RANDBETWEEN(1,8),TipoAutomovilResponsable!A:C,3,0)</f>
        <v>Bus</v>
      </c>
      <c r="G214" s="13">
        <f t="shared" ca="1" si="3"/>
        <v>3</v>
      </c>
      <c r="H214" s="14">
        <v>3</v>
      </c>
      <c r="I214" s="25">
        <v>2</v>
      </c>
      <c r="J214" s="12" t="str">
        <f ca="1">VLOOKUP(RANDBETWEEN(1,6),TipoClima!A:C,3,0)</f>
        <v>Nublado</v>
      </c>
    </row>
    <row r="215" spans="1:10" ht="15.75" thickBot="1" x14ac:dyDescent="0.3">
      <c r="A215" s="8" t="s">
        <v>451</v>
      </c>
      <c r="B215" s="18">
        <v>46068</v>
      </c>
      <c r="C215" s="21">
        <v>0.88486611321654007</v>
      </c>
      <c r="D215" s="11" t="s">
        <v>38</v>
      </c>
      <c r="E215" s="11" t="e">
        <f ca="1">VLOOKUP(RANDBETWEEN(1,8),TipoAccidente!A:C,3,0)</f>
        <v>#N/A</v>
      </c>
      <c r="F215" s="11" t="str">
        <f ca="1">VLOOKUP(RANDBETWEEN(1,8),TipoAutomovilResponsable!A:C,3,0)</f>
        <v>Bicicleta</v>
      </c>
      <c r="G215" s="9">
        <f t="shared" ca="1" si="3"/>
        <v>1</v>
      </c>
      <c r="H215" s="10">
        <v>1</v>
      </c>
      <c r="I215" s="26">
        <v>2</v>
      </c>
      <c r="J215" s="8" t="str">
        <f ca="1">VLOOKUP(RANDBETWEEN(1,6),TipoClima!A:C,3,0)</f>
        <v>Lluvia intensa</v>
      </c>
    </row>
    <row r="216" spans="1:10" ht="15.75" thickBot="1" x14ac:dyDescent="0.3">
      <c r="A216" s="12" t="s">
        <v>452</v>
      </c>
      <c r="B216" s="17">
        <v>46164</v>
      </c>
      <c r="C216" s="20">
        <v>0.11023929221324869</v>
      </c>
      <c r="D216" s="15" t="s">
        <v>54</v>
      </c>
      <c r="E216" s="15" t="e">
        <f ca="1">VLOOKUP(RANDBETWEEN(1,8),TipoAccidente!A:C,3,0)</f>
        <v>#N/A</v>
      </c>
      <c r="F216" s="15" t="str">
        <f ca="1">VLOOKUP(RANDBETWEEN(1,8),TipoAutomovilResponsable!A:C,3,0)</f>
        <v>Tractocamión</v>
      </c>
      <c r="G216" s="13">
        <f t="shared" ca="1" si="3"/>
        <v>2</v>
      </c>
      <c r="H216" s="14">
        <v>3</v>
      </c>
      <c r="I216" s="25">
        <v>2</v>
      </c>
      <c r="J216" s="12" t="str">
        <f ca="1">VLOOKUP(RANDBETWEEN(1,6),TipoClima!A:C,3,0)</f>
        <v>Lluvia intensa</v>
      </c>
    </row>
    <row r="217" spans="1:10" ht="15.75" thickBot="1" x14ac:dyDescent="0.3">
      <c r="A217" s="8" t="s">
        <v>453</v>
      </c>
      <c r="B217" s="18">
        <v>46038</v>
      </c>
      <c r="C217" s="21">
        <v>0.41126021261192092</v>
      </c>
      <c r="D217" s="11" t="s">
        <v>15</v>
      </c>
      <c r="E217" s="11" t="str">
        <f ca="1">VLOOKUP(RANDBETWEEN(1,8),TipoAccidente!A:C,3,0)</f>
        <v>Choque entre vehículos</v>
      </c>
      <c r="F217" s="11" t="str">
        <f ca="1">VLOOKUP(RANDBETWEEN(1,8),TipoAutomovilResponsable!A:C,3,0)</f>
        <v>Camión</v>
      </c>
      <c r="G217" s="9">
        <f t="shared" ca="1" si="3"/>
        <v>1</v>
      </c>
      <c r="H217" s="10">
        <v>5</v>
      </c>
      <c r="I217" s="26">
        <v>2</v>
      </c>
      <c r="J217" s="8" t="str">
        <f ca="1">VLOOKUP(RANDBETWEEN(1,6),TipoClima!A:C,3,0)</f>
        <v>Nublado</v>
      </c>
    </row>
    <row r="218" spans="1:10" ht="15.75" thickBot="1" x14ac:dyDescent="0.3">
      <c r="A218" s="12" t="s">
        <v>454</v>
      </c>
      <c r="B218" s="17">
        <v>46025</v>
      </c>
      <c r="C218" s="20">
        <v>0.15893561136739931</v>
      </c>
      <c r="D218" s="15" t="s">
        <v>10</v>
      </c>
      <c r="E218" s="15" t="e">
        <f ca="1">VLOOKUP(RANDBETWEEN(1,8),TipoAccidente!A:C,3,0)</f>
        <v>#N/A</v>
      </c>
      <c r="F218" s="15" t="str">
        <f ca="1">VLOOKUP(RANDBETWEEN(1,8),TipoAutomovilResponsable!A:C,3,0)</f>
        <v>Tractocamión</v>
      </c>
      <c r="G218" s="13">
        <f t="shared" ca="1" si="3"/>
        <v>3</v>
      </c>
      <c r="H218" s="14">
        <v>2</v>
      </c>
      <c r="I218" s="25">
        <v>2</v>
      </c>
      <c r="J218" s="12" t="str">
        <f ca="1">VLOOKUP(RANDBETWEEN(1,6),TipoClima!A:C,3,0)</f>
        <v>Lluvia intensa</v>
      </c>
    </row>
    <row r="219" spans="1:10" ht="15.75" thickBot="1" x14ac:dyDescent="0.3">
      <c r="A219" s="8" t="s">
        <v>455</v>
      </c>
      <c r="B219" s="18">
        <v>46175</v>
      </c>
      <c r="C219" s="21">
        <v>0.7080965171756386</v>
      </c>
      <c r="D219" s="11" t="s">
        <v>241</v>
      </c>
      <c r="E219" s="11" t="str">
        <f ca="1">VLOOKUP(RANDBETWEEN(1,8),TipoAccidente!A:C,3,0)</f>
        <v>Choque entre vehículos</v>
      </c>
      <c r="F219" s="11" t="str">
        <f ca="1">VLOOKUP(RANDBETWEEN(1,8),TipoAutomovilResponsable!A:C,3,0)</f>
        <v>Bus</v>
      </c>
      <c r="G219" s="9">
        <f t="shared" ca="1" si="3"/>
        <v>3</v>
      </c>
      <c r="H219" s="10">
        <v>3</v>
      </c>
      <c r="I219" s="26">
        <v>1</v>
      </c>
      <c r="J219" s="8" t="str">
        <f ca="1">VLOOKUP(RANDBETWEEN(1,6),TipoClima!A:C,3,0)</f>
        <v>Lluvia ligera</v>
      </c>
    </row>
    <row r="220" spans="1:10" ht="15.75" thickBot="1" x14ac:dyDescent="0.3">
      <c r="A220" s="12" t="s">
        <v>456</v>
      </c>
      <c r="B220" s="17">
        <v>46165</v>
      </c>
      <c r="C220" s="20">
        <v>0.24747199719322488</v>
      </c>
      <c r="D220" s="15" t="s">
        <v>58</v>
      </c>
      <c r="E220" s="15" t="e">
        <f ca="1">VLOOKUP(RANDBETWEEN(1,8),TipoAccidente!A:C,3,0)</f>
        <v>#N/A</v>
      </c>
      <c r="F220" s="15" t="str">
        <f ca="1">VLOOKUP(RANDBETWEEN(1,8),TipoAutomovilResponsable!A:C,3,0)</f>
        <v>Automóvil</v>
      </c>
      <c r="G220" s="13">
        <f t="shared" ca="1" si="3"/>
        <v>2</v>
      </c>
      <c r="H220" s="14">
        <v>5</v>
      </c>
      <c r="I220" s="25">
        <v>1</v>
      </c>
      <c r="J220" s="12" t="str">
        <f ca="1">VLOOKUP(RANDBETWEEN(1,6),TipoClima!A:C,3,0)</f>
        <v>Neblina</v>
      </c>
    </row>
    <row r="221" spans="1:10" ht="15.75" thickBot="1" x14ac:dyDescent="0.3">
      <c r="A221" s="8" t="s">
        <v>457</v>
      </c>
      <c r="B221" s="18">
        <v>46105</v>
      </c>
      <c r="C221" s="21">
        <v>0.59521705817282877</v>
      </c>
      <c r="D221" s="11" t="s">
        <v>252</v>
      </c>
      <c r="E221" s="11" t="str">
        <f ca="1">VLOOKUP(RANDBETWEEN(1,8),TipoAccidente!A:C,3,0)</f>
        <v>Choque entre vehículos</v>
      </c>
      <c r="F221" s="11" t="str">
        <f ca="1">VLOOKUP(RANDBETWEEN(1,8),TipoAutomovilResponsable!A:C,3,0)</f>
        <v>Taxi</v>
      </c>
      <c r="G221" s="9">
        <f t="shared" ca="1" si="3"/>
        <v>2</v>
      </c>
      <c r="H221" s="10">
        <v>3</v>
      </c>
      <c r="I221" s="26">
        <v>0</v>
      </c>
      <c r="J221" s="8" t="str">
        <f ca="1">VLOOKUP(RANDBETWEEN(1,6),TipoClima!A:C,3,0)</f>
        <v>Neblina</v>
      </c>
    </row>
    <row r="222" spans="1:10" ht="15.75" thickBot="1" x14ac:dyDescent="0.3">
      <c r="A222" s="12" t="s">
        <v>458</v>
      </c>
      <c r="B222" s="17">
        <v>46148</v>
      </c>
      <c r="C222" s="20">
        <v>0.46304163071690307</v>
      </c>
      <c r="D222" s="15" t="s">
        <v>268</v>
      </c>
      <c r="E222" s="15" t="str">
        <f ca="1">VLOOKUP(RANDBETWEEN(1,8),TipoAccidente!A:C,3,0)</f>
        <v>Colisión con objeto fijo</v>
      </c>
      <c r="F222" s="15" t="str">
        <f ca="1">VLOOKUP(RANDBETWEEN(1,8),TipoAutomovilResponsable!A:C,3,0)</f>
        <v>Camión</v>
      </c>
      <c r="G222" s="13">
        <f t="shared" ca="1" si="3"/>
        <v>2</v>
      </c>
      <c r="H222" s="14">
        <v>5</v>
      </c>
      <c r="I222" s="25">
        <v>0</v>
      </c>
      <c r="J222" s="12" t="str">
        <f ca="1">VLOOKUP(RANDBETWEEN(1,6),TipoClima!A:C,3,0)</f>
        <v>Lluvia ligera</v>
      </c>
    </row>
    <row r="223" spans="1:10" ht="15.75" thickBot="1" x14ac:dyDescent="0.3">
      <c r="A223" s="8" t="s">
        <v>459</v>
      </c>
      <c r="B223" s="18">
        <v>46207</v>
      </c>
      <c r="C223" s="21">
        <v>0.5075797891447752</v>
      </c>
      <c r="D223" s="11" t="s">
        <v>84</v>
      </c>
      <c r="E223" s="11" t="str">
        <f ca="1">VLOOKUP(RANDBETWEEN(1,8),TipoAccidente!A:C,3,0)</f>
        <v>Salida de vía</v>
      </c>
      <c r="F223" s="11" t="str">
        <f ca="1">VLOOKUP(RANDBETWEEN(1,8),TipoAutomovilResponsable!A:C,3,0)</f>
        <v>Bicicleta</v>
      </c>
      <c r="G223" s="9">
        <f t="shared" ca="1" si="3"/>
        <v>1</v>
      </c>
      <c r="H223" s="10">
        <v>1</v>
      </c>
      <c r="I223" s="26">
        <v>0</v>
      </c>
      <c r="J223" s="8" t="str">
        <f ca="1">VLOOKUP(RANDBETWEEN(1,6),TipoClima!A:C,3,0)</f>
        <v>Neblina</v>
      </c>
    </row>
    <row r="224" spans="1:10" ht="15.75" thickBot="1" x14ac:dyDescent="0.3">
      <c r="A224" s="12" t="s">
        <v>460</v>
      </c>
      <c r="B224" s="17">
        <v>46141</v>
      </c>
      <c r="C224" s="20">
        <v>0.91546406556442028</v>
      </c>
      <c r="D224" s="15" t="s">
        <v>241</v>
      </c>
      <c r="E224" s="15" t="e">
        <f ca="1">VLOOKUP(RANDBETWEEN(1,8),TipoAccidente!A:C,3,0)</f>
        <v>#N/A</v>
      </c>
      <c r="F224" s="15" t="str">
        <f ca="1">VLOOKUP(RANDBETWEEN(1,8),TipoAutomovilResponsable!A:C,3,0)</f>
        <v>Bicicleta</v>
      </c>
      <c r="G224" s="13">
        <f t="shared" ca="1" si="3"/>
        <v>2</v>
      </c>
      <c r="H224" s="14">
        <v>3</v>
      </c>
      <c r="I224" s="25">
        <v>0</v>
      </c>
      <c r="J224" s="12" t="str">
        <f ca="1">VLOOKUP(RANDBETWEEN(1,6),TipoClima!A:C,3,0)</f>
        <v>Neblina</v>
      </c>
    </row>
    <row r="225" spans="1:10" ht="15.75" thickBot="1" x14ac:dyDescent="0.3">
      <c r="A225" s="8" t="s">
        <v>461</v>
      </c>
      <c r="B225" s="18">
        <v>46194</v>
      </c>
      <c r="C225" s="21">
        <v>0.78842279238617985</v>
      </c>
      <c r="D225" s="11" t="s">
        <v>279</v>
      </c>
      <c r="E225" s="11" t="str">
        <f ca="1">VLOOKUP(RANDBETWEEN(1,8),TipoAccidente!A:C,3,0)</f>
        <v>Salida de vía</v>
      </c>
      <c r="F225" s="11" t="str">
        <f ca="1">VLOOKUP(RANDBETWEEN(1,8),TipoAutomovilResponsable!A:C,3,0)</f>
        <v>Camión</v>
      </c>
      <c r="G225" s="9">
        <f t="shared" ca="1" si="3"/>
        <v>2</v>
      </c>
      <c r="H225" s="10">
        <v>3</v>
      </c>
      <c r="I225" s="26">
        <v>2</v>
      </c>
      <c r="J225" s="8" t="str">
        <f ca="1">VLOOKUP(RANDBETWEEN(1,6),TipoClima!A:C,3,0)</f>
        <v>Nublado</v>
      </c>
    </row>
    <row r="226" spans="1:10" ht="15.75" thickBot="1" x14ac:dyDescent="0.3">
      <c r="A226" s="12" t="s">
        <v>462</v>
      </c>
      <c r="B226" s="17">
        <v>46137</v>
      </c>
      <c r="C226" s="20">
        <v>0.59773159621812366</v>
      </c>
      <c r="D226" s="15" t="s">
        <v>58</v>
      </c>
      <c r="E226" s="15" t="e">
        <f ca="1">VLOOKUP(RANDBETWEEN(1,8),TipoAccidente!A:C,3,0)</f>
        <v>#N/A</v>
      </c>
      <c r="F226" s="15" t="str">
        <f ca="1">VLOOKUP(RANDBETWEEN(1,8),TipoAutomovilResponsable!A:C,3,0)</f>
        <v>Automóvil</v>
      </c>
      <c r="G226" s="13">
        <f t="shared" ca="1" si="3"/>
        <v>2</v>
      </c>
      <c r="H226" s="14">
        <v>1</v>
      </c>
      <c r="I226" s="25">
        <v>1</v>
      </c>
      <c r="J226" s="12" t="str">
        <f ca="1">VLOOKUP(RANDBETWEEN(1,6),TipoClima!A:C,3,0)</f>
        <v>Lluvia ligera</v>
      </c>
    </row>
    <row r="227" spans="1:10" ht="15.75" thickBot="1" x14ac:dyDescent="0.3">
      <c r="A227" s="8" t="s">
        <v>463</v>
      </c>
      <c r="B227" s="18">
        <v>46119</v>
      </c>
      <c r="C227" s="21">
        <v>0.26385646393926199</v>
      </c>
      <c r="D227" s="11" t="s">
        <v>26</v>
      </c>
      <c r="E227" s="11" t="str">
        <f ca="1">VLOOKUP(RANDBETWEEN(1,8),TipoAccidente!A:C,3,0)</f>
        <v>Atropello</v>
      </c>
      <c r="F227" s="11" t="str">
        <f ca="1">VLOOKUP(RANDBETWEEN(1,8),TipoAutomovilResponsable!A:C,3,0)</f>
        <v>Bus</v>
      </c>
      <c r="G227" s="9">
        <f t="shared" ca="1" si="3"/>
        <v>1</v>
      </c>
      <c r="H227" s="10">
        <v>5</v>
      </c>
      <c r="I227" s="26">
        <v>1</v>
      </c>
      <c r="J227" s="8" t="str">
        <f ca="1">VLOOKUP(RANDBETWEEN(1,6),TipoClima!A:C,3,0)</f>
        <v>Nublado</v>
      </c>
    </row>
    <row r="228" spans="1:10" ht="15.75" thickBot="1" x14ac:dyDescent="0.3">
      <c r="A228" s="12" t="s">
        <v>464</v>
      </c>
      <c r="B228" s="17">
        <v>46160</v>
      </c>
      <c r="C228" s="20">
        <v>0.63303233673749881</v>
      </c>
      <c r="D228" s="15" t="s">
        <v>24</v>
      </c>
      <c r="E228" s="15" t="str">
        <f ca="1">VLOOKUP(RANDBETWEEN(1,8),TipoAccidente!A:C,3,0)</f>
        <v>Volcamiento</v>
      </c>
      <c r="F228" s="15" t="str">
        <f ca="1">VLOOKUP(RANDBETWEEN(1,8),TipoAutomovilResponsable!A:C,3,0)</f>
        <v>Automóvil</v>
      </c>
      <c r="G228" s="13">
        <f t="shared" ca="1" si="3"/>
        <v>3</v>
      </c>
      <c r="H228" s="14">
        <v>4</v>
      </c>
      <c r="I228" s="25">
        <v>0</v>
      </c>
      <c r="J228" s="12" t="str">
        <f ca="1">VLOOKUP(RANDBETWEEN(1,6),TipoClima!A:C,3,0)</f>
        <v>Viento fuerte</v>
      </c>
    </row>
    <row r="229" spans="1:10" ht="15.75" thickBot="1" x14ac:dyDescent="0.3">
      <c r="A229" s="8" t="s">
        <v>465</v>
      </c>
      <c r="B229" s="18">
        <v>46218</v>
      </c>
      <c r="C229" s="21">
        <v>0.4805756007336035</v>
      </c>
      <c r="D229" s="11" t="s">
        <v>80</v>
      </c>
      <c r="E229" s="11" t="str">
        <f ca="1">VLOOKUP(RANDBETWEEN(1,8),TipoAccidente!A:C,3,0)</f>
        <v>Choque entre vehículos</v>
      </c>
      <c r="F229" s="11" t="str">
        <f ca="1">VLOOKUP(RANDBETWEEN(1,8),TipoAutomovilResponsable!A:C,3,0)</f>
        <v>Taxi</v>
      </c>
      <c r="G229" s="9">
        <f t="shared" ca="1" si="3"/>
        <v>3</v>
      </c>
      <c r="H229" s="10">
        <v>5</v>
      </c>
      <c r="I229" s="26">
        <v>0</v>
      </c>
      <c r="J229" s="8" t="str">
        <f ca="1">VLOOKUP(RANDBETWEEN(1,6),TipoClima!A:C,3,0)</f>
        <v>Viento fuerte</v>
      </c>
    </row>
    <row r="230" spans="1:10" ht="15.75" thickBot="1" x14ac:dyDescent="0.3">
      <c r="A230" s="12" t="s">
        <v>466</v>
      </c>
      <c r="B230" s="17">
        <v>46197</v>
      </c>
      <c r="C230" s="20">
        <v>1.4313763082152819E-2</v>
      </c>
      <c r="D230" s="15" t="s">
        <v>36</v>
      </c>
      <c r="E230" s="15" t="e">
        <f ca="1">VLOOKUP(RANDBETWEEN(1,8),TipoAccidente!A:C,3,0)</f>
        <v>#N/A</v>
      </c>
      <c r="F230" s="15" t="str">
        <f ca="1">VLOOKUP(RANDBETWEEN(1,8),TipoAutomovilResponsable!A:C,3,0)</f>
        <v>Camioneta</v>
      </c>
      <c r="G230" s="13">
        <f t="shared" ca="1" si="3"/>
        <v>1</v>
      </c>
      <c r="H230" s="14">
        <v>4</v>
      </c>
      <c r="I230" s="25">
        <v>2</v>
      </c>
      <c r="J230" s="12" t="str">
        <f ca="1">VLOOKUP(RANDBETWEEN(1,6),TipoClima!A:C,3,0)</f>
        <v>Neblina</v>
      </c>
    </row>
    <row r="231" spans="1:10" ht="15.75" thickBot="1" x14ac:dyDescent="0.3">
      <c r="A231" s="8" t="s">
        <v>467</v>
      </c>
      <c r="B231" s="18">
        <v>46043</v>
      </c>
      <c r="C231" s="21">
        <v>0.5681256304778497</v>
      </c>
      <c r="D231" s="11" t="s">
        <v>94</v>
      </c>
      <c r="E231" s="11" t="e">
        <f ca="1">VLOOKUP(RANDBETWEEN(1,8),TipoAccidente!A:C,3,0)</f>
        <v>#N/A</v>
      </c>
      <c r="F231" s="11" t="str">
        <f ca="1">VLOOKUP(RANDBETWEEN(1,8),TipoAutomovilResponsable!A:C,3,0)</f>
        <v>Camioneta</v>
      </c>
      <c r="G231" s="9">
        <f t="shared" ca="1" si="3"/>
        <v>3</v>
      </c>
      <c r="H231" s="10">
        <v>5</v>
      </c>
      <c r="I231" s="26">
        <v>1</v>
      </c>
      <c r="J231" s="8" t="str">
        <f ca="1">VLOOKUP(RANDBETWEEN(1,6),TipoClima!A:C,3,0)</f>
        <v>Nublado</v>
      </c>
    </row>
    <row r="232" spans="1:10" ht="15.75" thickBot="1" x14ac:dyDescent="0.3">
      <c r="A232" s="12" t="s">
        <v>468</v>
      </c>
      <c r="B232" s="17">
        <v>46189</v>
      </c>
      <c r="C232" s="20">
        <v>0.93992903406485384</v>
      </c>
      <c r="D232" s="15" t="s">
        <v>54</v>
      </c>
      <c r="E232" s="15" t="e">
        <f ca="1">VLOOKUP(RANDBETWEEN(1,8),TipoAccidente!A:C,3,0)</f>
        <v>#N/A</v>
      </c>
      <c r="F232" s="15" t="str">
        <f ca="1">VLOOKUP(RANDBETWEEN(1,8),TipoAutomovilResponsable!A:C,3,0)</f>
        <v>Motocicleta</v>
      </c>
      <c r="G232" s="13">
        <f t="shared" ca="1" si="3"/>
        <v>3</v>
      </c>
      <c r="H232" s="14">
        <v>4</v>
      </c>
      <c r="I232" s="25">
        <v>0</v>
      </c>
      <c r="J232" s="12" t="str">
        <f ca="1">VLOOKUP(RANDBETWEEN(1,6),TipoClima!A:C,3,0)</f>
        <v>Neblina</v>
      </c>
    </row>
    <row r="233" spans="1:10" ht="15.75" thickBot="1" x14ac:dyDescent="0.3">
      <c r="A233" s="8" t="s">
        <v>469</v>
      </c>
      <c r="B233" s="18">
        <v>46034</v>
      </c>
      <c r="C233" s="21">
        <v>0.58377307559510305</v>
      </c>
      <c r="D233" s="11" t="s">
        <v>28</v>
      </c>
      <c r="E233" s="11" t="str">
        <f ca="1">VLOOKUP(RANDBETWEEN(1,8),TipoAccidente!A:C,3,0)</f>
        <v>Choque entre vehículos</v>
      </c>
      <c r="F233" s="11" t="str">
        <f ca="1">VLOOKUP(RANDBETWEEN(1,8),TipoAutomovilResponsable!A:C,3,0)</f>
        <v>Bus</v>
      </c>
      <c r="G233" s="9">
        <f t="shared" ca="1" si="3"/>
        <v>1</v>
      </c>
      <c r="H233" s="10">
        <v>2</v>
      </c>
      <c r="I233" s="26">
        <v>1</v>
      </c>
      <c r="J233" s="8" t="str">
        <f ca="1">VLOOKUP(RANDBETWEEN(1,6),TipoClima!A:C,3,0)</f>
        <v>Soleado</v>
      </c>
    </row>
    <row r="234" spans="1:10" ht="15.75" thickBot="1" x14ac:dyDescent="0.3">
      <c r="A234" s="12" t="s">
        <v>470</v>
      </c>
      <c r="B234" s="17">
        <v>46222</v>
      </c>
      <c r="C234" s="20">
        <v>0.94269758615203514</v>
      </c>
      <c r="D234" s="15" t="s">
        <v>20</v>
      </c>
      <c r="E234" s="15" t="str">
        <f ca="1">VLOOKUP(RANDBETWEEN(1,8),TipoAccidente!A:C,3,0)</f>
        <v>Atropello</v>
      </c>
      <c r="F234" s="15" t="str">
        <f ca="1">VLOOKUP(RANDBETWEEN(1,8),TipoAutomovilResponsable!A:C,3,0)</f>
        <v>Bicicleta</v>
      </c>
      <c r="G234" s="13">
        <f t="shared" ca="1" si="3"/>
        <v>3</v>
      </c>
      <c r="H234" s="14">
        <v>2</v>
      </c>
      <c r="I234" s="25">
        <v>0</v>
      </c>
      <c r="J234" s="12" t="str">
        <f ca="1">VLOOKUP(RANDBETWEEN(1,6),TipoClima!A:C,3,0)</f>
        <v>Soleado</v>
      </c>
    </row>
    <row r="235" spans="1:10" ht="15.75" thickBot="1" x14ac:dyDescent="0.3">
      <c r="A235" s="8" t="s">
        <v>471</v>
      </c>
      <c r="B235" s="18">
        <v>46048</v>
      </c>
      <c r="C235" s="21">
        <v>0.25717772011942164</v>
      </c>
      <c r="D235" s="11" t="s">
        <v>44</v>
      </c>
      <c r="E235" s="11" t="e">
        <f ca="1">VLOOKUP(RANDBETWEEN(1,8),TipoAccidente!A:C,3,0)</f>
        <v>#N/A</v>
      </c>
      <c r="F235" s="11" t="str">
        <f ca="1">VLOOKUP(RANDBETWEEN(1,8),TipoAutomovilResponsable!A:C,3,0)</f>
        <v>Bus</v>
      </c>
      <c r="G235" s="9">
        <f t="shared" ca="1" si="3"/>
        <v>2</v>
      </c>
      <c r="H235" s="10">
        <v>2</v>
      </c>
      <c r="I235" s="26">
        <v>2</v>
      </c>
      <c r="J235" s="8" t="str">
        <f ca="1">VLOOKUP(RANDBETWEEN(1,6),TipoClima!A:C,3,0)</f>
        <v>Lluvia intensa</v>
      </c>
    </row>
    <row r="236" spans="1:10" ht="15.75" thickBot="1" x14ac:dyDescent="0.3">
      <c r="A236" s="12" t="s">
        <v>472</v>
      </c>
      <c r="B236" s="17">
        <v>46027</v>
      </c>
      <c r="C236" s="20">
        <v>0.86776144539029676</v>
      </c>
      <c r="D236" s="15" t="s">
        <v>40</v>
      </c>
      <c r="E236" s="15" t="str">
        <f ca="1">VLOOKUP(RANDBETWEEN(1,8),TipoAccidente!A:C,3,0)</f>
        <v>Salida de vía</v>
      </c>
      <c r="F236" s="15" t="str">
        <f ca="1">VLOOKUP(RANDBETWEEN(1,8),TipoAutomovilResponsable!A:C,3,0)</f>
        <v>Bus</v>
      </c>
      <c r="G236" s="13">
        <f t="shared" ca="1" si="3"/>
        <v>1</v>
      </c>
      <c r="H236" s="14">
        <v>5</v>
      </c>
      <c r="I236" s="25">
        <v>2</v>
      </c>
      <c r="J236" s="12" t="str">
        <f ca="1">VLOOKUP(RANDBETWEEN(1,6),TipoClima!A:C,3,0)</f>
        <v>Lluvia intensa</v>
      </c>
    </row>
    <row r="237" spans="1:10" ht="15.75" thickBot="1" x14ac:dyDescent="0.3">
      <c r="A237" s="8" t="s">
        <v>473</v>
      </c>
      <c r="B237" s="18">
        <v>46191</v>
      </c>
      <c r="C237" s="21">
        <v>0.9049182535412803</v>
      </c>
      <c r="D237" s="11" t="s">
        <v>108</v>
      </c>
      <c r="E237" s="11" t="str">
        <f ca="1">VLOOKUP(RANDBETWEEN(1,8),TipoAccidente!A:C,3,0)</f>
        <v>Volcamiento</v>
      </c>
      <c r="F237" s="11" t="str">
        <f ca="1">VLOOKUP(RANDBETWEEN(1,8),TipoAutomovilResponsable!A:C,3,0)</f>
        <v>Tractocamión</v>
      </c>
      <c r="G237" s="9">
        <f t="shared" ca="1" si="3"/>
        <v>2</v>
      </c>
      <c r="H237" s="10">
        <v>5</v>
      </c>
      <c r="I237" s="26">
        <v>0</v>
      </c>
      <c r="J237" s="8" t="str">
        <f ca="1">VLOOKUP(RANDBETWEEN(1,6),TipoClima!A:C,3,0)</f>
        <v>Soleado</v>
      </c>
    </row>
    <row r="238" spans="1:10" ht="15.75" thickBot="1" x14ac:dyDescent="0.3">
      <c r="A238" s="12" t="s">
        <v>474</v>
      </c>
      <c r="B238" s="17">
        <v>46224</v>
      </c>
      <c r="C238" s="20">
        <v>0.79952406763015094</v>
      </c>
      <c r="D238" s="15" t="s">
        <v>277</v>
      </c>
      <c r="E238" s="15" t="str">
        <f ca="1">VLOOKUP(RANDBETWEEN(1,8),TipoAccidente!A:C,3,0)</f>
        <v>Colisión con objeto fijo</v>
      </c>
      <c r="F238" s="15" t="str">
        <f ca="1">VLOOKUP(RANDBETWEEN(1,8),TipoAutomovilResponsable!A:C,3,0)</f>
        <v>Camión</v>
      </c>
      <c r="G238" s="13">
        <f t="shared" ca="1" si="3"/>
        <v>1</v>
      </c>
      <c r="H238" s="14">
        <v>4</v>
      </c>
      <c r="I238" s="25">
        <v>0</v>
      </c>
      <c r="J238" s="12" t="str">
        <f ca="1">VLOOKUP(RANDBETWEEN(1,6),TipoClima!A:C,3,0)</f>
        <v>Lluvia intensa</v>
      </c>
    </row>
    <row r="239" spans="1:10" ht="15.75" thickBot="1" x14ac:dyDescent="0.3">
      <c r="A239" s="8" t="s">
        <v>475</v>
      </c>
      <c r="B239" s="18">
        <v>46095</v>
      </c>
      <c r="C239" s="21">
        <v>0.76515367602028894</v>
      </c>
      <c r="D239" s="11" t="s">
        <v>271</v>
      </c>
      <c r="E239" s="11" t="str">
        <f ca="1">VLOOKUP(RANDBETWEEN(1,8),TipoAccidente!A:C,3,0)</f>
        <v>Choque entre vehículos</v>
      </c>
      <c r="F239" s="11" t="str">
        <f ca="1">VLOOKUP(RANDBETWEEN(1,8),TipoAutomovilResponsable!A:C,3,0)</f>
        <v>Bus</v>
      </c>
      <c r="G239" s="9">
        <f t="shared" ca="1" si="3"/>
        <v>3</v>
      </c>
      <c r="H239" s="10">
        <v>1</v>
      </c>
      <c r="I239" s="26">
        <v>1</v>
      </c>
      <c r="J239" s="8" t="str">
        <f ca="1">VLOOKUP(RANDBETWEEN(1,6),TipoClima!A:C,3,0)</f>
        <v>Lluvia ligera</v>
      </c>
    </row>
    <row r="240" spans="1:10" ht="15.75" thickBot="1" x14ac:dyDescent="0.3">
      <c r="A240" s="12" t="s">
        <v>476</v>
      </c>
      <c r="B240" s="17">
        <v>46206</v>
      </c>
      <c r="C240" s="20">
        <v>0.40018263150829725</v>
      </c>
      <c r="D240" s="15" t="s">
        <v>46</v>
      </c>
      <c r="E240" s="15" t="e">
        <f ca="1">VLOOKUP(RANDBETWEEN(1,8),TipoAccidente!A:C,3,0)</f>
        <v>#N/A</v>
      </c>
      <c r="F240" s="15" t="str">
        <f ca="1">VLOOKUP(RANDBETWEEN(1,8),TipoAutomovilResponsable!A:C,3,0)</f>
        <v>Automóvil</v>
      </c>
      <c r="G240" s="13">
        <f t="shared" ca="1" si="3"/>
        <v>1</v>
      </c>
      <c r="H240" s="14">
        <v>4</v>
      </c>
      <c r="I240" s="25">
        <v>0</v>
      </c>
      <c r="J240" s="12" t="str">
        <f ca="1">VLOOKUP(RANDBETWEEN(1,6),TipoClima!A:C,3,0)</f>
        <v>Lluvia ligera</v>
      </c>
    </row>
    <row r="241" spans="1:10" ht="15.75" thickBot="1" x14ac:dyDescent="0.3">
      <c r="A241" s="8" t="s">
        <v>477</v>
      </c>
      <c r="B241" s="18">
        <v>46030</v>
      </c>
      <c r="C241" s="21">
        <v>0.68978800830111331</v>
      </c>
      <c r="D241" s="11" t="s">
        <v>94</v>
      </c>
      <c r="E241" s="11" t="e">
        <f ca="1">VLOOKUP(RANDBETWEEN(1,8),TipoAccidente!A:C,3,0)</f>
        <v>#N/A</v>
      </c>
      <c r="F241" s="11" t="str">
        <f ca="1">VLOOKUP(RANDBETWEEN(1,8),TipoAutomovilResponsable!A:C,3,0)</f>
        <v>Bus</v>
      </c>
      <c r="G241" s="9">
        <f t="shared" ca="1" si="3"/>
        <v>2</v>
      </c>
      <c r="H241" s="10">
        <v>2</v>
      </c>
      <c r="I241" s="26">
        <v>0</v>
      </c>
      <c r="J241" s="8" t="str">
        <f ca="1">VLOOKUP(RANDBETWEEN(1,6),TipoClima!A:C,3,0)</f>
        <v>Nublado</v>
      </c>
    </row>
    <row r="242" spans="1:10" ht="15.75" thickBot="1" x14ac:dyDescent="0.3">
      <c r="A242" s="12" t="s">
        <v>478</v>
      </c>
      <c r="B242" s="17">
        <v>46069</v>
      </c>
      <c r="C242" s="20">
        <v>0.10784531082405968</v>
      </c>
      <c r="D242" s="15" t="s">
        <v>66</v>
      </c>
      <c r="E242" s="15" t="e">
        <f ca="1">VLOOKUP(RANDBETWEEN(1,8),TipoAccidente!A:C,3,0)</f>
        <v>#N/A</v>
      </c>
      <c r="F242" s="15" t="str">
        <f ca="1">VLOOKUP(RANDBETWEEN(1,8),TipoAutomovilResponsable!A:C,3,0)</f>
        <v>Automóvil</v>
      </c>
      <c r="G242" s="13">
        <f t="shared" ca="1" si="3"/>
        <v>2</v>
      </c>
      <c r="H242" s="14">
        <v>4</v>
      </c>
      <c r="I242" s="25">
        <v>1</v>
      </c>
      <c r="J242" s="12" t="str">
        <f ca="1">VLOOKUP(RANDBETWEEN(1,6),TipoClima!A:C,3,0)</f>
        <v>Nublado</v>
      </c>
    </row>
    <row r="243" spans="1:10" ht="15.75" thickBot="1" x14ac:dyDescent="0.3">
      <c r="A243" s="8" t="s">
        <v>479</v>
      </c>
      <c r="B243" s="18">
        <v>46043</v>
      </c>
      <c r="C243" s="21">
        <v>0.47528546481960499</v>
      </c>
      <c r="D243" s="11" t="s">
        <v>110</v>
      </c>
      <c r="E243" s="11" t="str">
        <f ca="1">VLOOKUP(RANDBETWEEN(1,8),TipoAccidente!A:C,3,0)</f>
        <v>Colisión con objeto fijo</v>
      </c>
      <c r="F243" s="11" t="str">
        <f ca="1">VLOOKUP(RANDBETWEEN(1,8),TipoAutomovilResponsable!A:C,3,0)</f>
        <v>Taxi</v>
      </c>
      <c r="G243" s="9">
        <f t="shared" ca="1" si="3"/>
        <v>3</v>
      </c>
      <c r="H243" s="10">
        <v>3</v>
      </c>
      <c r="I243" s="26">
        <v>2</v>
      </c>
      <c r="J243" s="8" t="str">
        <f ca="1">VLOOKUP(RANDBETWEEN(1,6),TipoClima!A:C,3,0)</f>
        <v>Viento fuerte</v>
      </c>
    </row>
    <row r="244" spans="1:10" ht="15.75" thickBot="1" x14ac:dyDescent="0.3">
      <c r="A244" s="12" t="s">
        <v>480</v>
      </c>
      <c r="B244" s="17">
        <v>46179</v>
      </c>
      <c r="C244" s="20">
        <v>3.9477165898978206E-2</v>
      </c>
      <c r="D244" s="15" t="s">
        <v>66</v>
      </c>
      <c r="E244" s="15" t="str">
        <f ca="1">VLOOKUP(RANDBETWEEN(1,8),TipoAccidente!A:C,3,0)</f>
        <v>Volcamiento</v>
      </c>
      <c r="F244" s="15" t="str">
        <f ca="1">VLOOKUP(RANDBETWEEN(1,8),TipoAutomovilResponsable!A:C,3,0)</f>
        <v>Camioneta</v>
      </c>
      <c r="G244" s="13">
        <f t="shared" ca="1" si="3"/>
        <v>3</v>
      </c>
      <c r="H244" s="14">
        <v>2</v>
      </c>
      <c r="I244" s="25">
        <v>2</v>
      </c>
      <c r="J244" s="12" t="str">
        <f ca="1">VLOOKUP(RANDBETWEEN(1,6),TipoClima!A:C,3,0)</f>
        <v>Lluvia intensa</v>
      </c>
    </row>
    <row r="245" spans="1:10" ht="15.75" thickBot="1" x14ac:dyDescent="0.3">
      <c r="A245" s="8" t="s">
        <v>481</v>
      </c>
      <c r="B245" s="18">
        <v>46103</v>
      </c>
      <c r="C245" s="21">
        <v>0.46577805512161097</v>
      </c>
      <c r="D245" s="11" t="s">
        <v>15</v>
      </c>
      <c r="E245" s="11" t="str">
        <f ca="1">VLOOKUP(RANDBETWEEN(1,8),TipoAccidente!A:C,3,0)</f>
        <v>Colisión con objeto fijo</v>
      </c>
      <c r="F245" s="11" t="str">
        <f ca="1">VLOOKUP(RANDBETWEEN(1,8),TipoAutomovilResponsable!A:C,3,0)</f>
        <v>Bicicleta</v>
      </c>
      <c r="G245" s="9">
        <f t="shared" ca="1" si="3"/>
        <v>1</v>
      </c>
      <c r="H245" s="10">
        <v>2</v>
      </c>
      <c r="I245" s="26">
        <v>1</v>
      </c>
      <c r="J245" s="8" t="str">
        <f ca="1">VLOOKUP(RANDBETWEEN(1,6),TipoClima!A:C,3,0)</f>
        <v>Neblina</v>
      </c>
    </row>
    <row r="246" spans="1:10" ht="15.75" thickBot="1" x14ac:dyDescent="0.3">
      <c r="A246" s="12" t="s">
        <v>482</v>
      </c>
      <c r="B246" s="17">
        <v>46082</v>
      </c>
      <c r="C246" s="20">
        <v>7.622467507083075E-2</v>
      </c>
      <c r="D246" s="15" t="s">
        <v>10</v>
      </c>
      <c r="E246" s="15" t="str">
        <f ca="1">VLOOKUP(RANDBETWEEN(1,8),TipoAccidente!A:C,3,0)</f>
        <v>Colisión con objeto fijo</v>
      </c>
      <c r="F246" s="15" t="str">
        <f ca="1">VLOOKUP(RANDBETWEEN(1,8),TipoAutomovilResponsable!A:C,3,0)</f>
        <v>Bicicleta</v>
      </c>
      <c r="G246" s="13">
        <f t="shared" ca="1" si="3"/>
        <v>2</v>
      </c>
      <c r="H246" s="14">
        <v>5</v>
      </c>
      <c r="I246" s="25">
        <v>1</v>
      </c>
      <c r="J246" s="12" t="str">
        <f ca="1">VLOOKUP(RANDBETWEEN(1,6),TipoClima!A:C,3,0)</f>
        <v>Soleado</v>
      </c>
    </row>
    <row r="247" spans="1:10" ht="15.75" thickBot="1" x14ac:dyDescent="0.3">
      <c r="A247" s="8" t="s">
        <v>483</v>
      </c>
      <c r="B247" s="18">
        <v>46026</v>
      </c>
      <c r="C247" s="21">
        <v>0.11875935395348847</v>
      </c>
      <c r="D247" s="11" t="s">
        <v>24</v>
      </c>
      <c r="E247" s="11" t="e">
        <f ca="1">VLOOKUP(RANDBETWEEN(1,8),TipoAccidente!A:C,3,0)</f>
        <v>#N/A</v>
      </c>
      <c r="F247" s="11" t="str">
        <f ca="1">VLOOKUP(RANDBETWEEN(1,8),TipoAutomovilResponsable!A:C,3,0)</f>
        <v>Motocicleta</v>
      </c>
      <c r="G247" s="9">
        <f t="shared" ca="1" si="3"/>
        <v>1</v>
      </c>
      <c r="H247" s="10">
        <v>5</v>
      </c>
      <c r="I247" s="26">
        <v>0</v>
      </c>
      <c r="J247" s="8" t="str">
        <f ca="1">VLOOKUP(RANDBETWEEN(1,6),TipoClima!A:C,3,0)</f>
        <v>Viento fuerte</v>
      </c>
    </row>
    <row r="248" spans="1:10" ht="15.75" thickBot="1" x14ac:dyDescent="0.3">
      <c r="A248" s="12" t="s">
        <v>484</v>
      </c>
      <c r="B248" s="17">
        <v>46046</v>
      </c>
      <c r="C248" s="20">
        <v>0.84795237452644645</v>
      </c>
      <c r="D248" s="15" t="s">
        <v>261</v>
      </c>
      <c r="E248" s="15" t="str">
        <f ca="1">VLOOKUP(RANDBETWEEN(1,8),TipoAccidente!A:C,3,0)</f>
        <v>Atropello</v>
      </c>
      <c r="F248" s="15" t="str">
        <f ca="1">VLOOKUP(RANDBETWEEN(1,8),TipoAutomovilResponsable!A:C,3,0)</f>
        <v>Camioneta</v>
      </c>
      <c r="G248" s="13">
        <f t="shared" ca="1" si="3"/>
        <v>1</v>
      </c>
      <c r="H248" s="14">
        <v>4</v>
      </c>
      <c r="I248" s="25">
        <v>2</v>
      </c>
      <c r="J248" s="12" t="str">
        <f ca="1">VLOOKUP(RANDBETWEEN(1,6),TipoClima!A:C,3,0)</f>
        <v>Lluvia ligera</v>
      </c>
    </row>
    <row r="249" spans="1:10" ht="15.75" thickBot="1" x14ac:dyDescent="0.3">
      <c r="A249" s="8" t="s">
        <v>485</v>
      </c>
      <c r="B249" s="18">
        <v>46223</v>
      </c>
      <c r="C249" s="21">
        <v>0.48424147116028693</v>
      </c>
      <c r="D249" s="11" t="s">
        <v>267</v>
      </c>
      <c r="E249" s="11" t="str">
        <f ca="1">VLOOKUP(RANDBETWEEN(1,8),TipoAccidente!A:C,3,0)</f>
        <v>Colisión con objeto fijo</v>
      </c>
      <c r="F249" s="11" t="str">
        <f ca="1">VLOOKUP(RANDBETWEEN(1,8),TipoAutomovilResponsable!A:C,3,0)</f>
        <v>Bicicleta</v>
      </c>
      <c r="G249" s="9">
        <f t="shared" ca="1" si="3"/>
        <v>2</v>
      </c>
      <c r="H249" s="10">
        <v>3</v>
      </c>
      <c r="I249" s="26">
        <v>0</v>
      </c>
      <c r="J249" s="8" t="str">
        <f ca="1">VLOOKUP(RANDBETWEEN(1,6),TipoClima!A:C,3,0)</f>
        <v>Viento fuerte</v>
      </c>
    </row>
    <row r="250" spans="1:10" ht="15.75" thickBot="1" x14ac:dyDescent="0.3">
      <c r="A250" s="12" t="s">
        <v>486</v>
      </c>
      <c r="B250" s="17">
        <v>46179</v>
      </c>
      <c r="C250" s="20">
        <v>0.89850128694093756</v>
      </c>
      <c r="D250" s="15" t="s">
        <v>34</v>
      </c>
      <c r="E250" s="15" t="e">
        <f ca="1">VLOOKUP(RANDBETWEEN(1,8),TipoAccidente!A:C,3,0)</f>
        <v>#N/A</v>
      </c>
      <c r="F250" s="15" t="str">
        <f ca="1">VLOOKUP(RANDBETWEEN(1,8),TipoAutomovilResponsable!A:C,3,0)</f>
        <v>Bicicleta</v>
      </c>
      <c r="G250" s="13">
        <f t="shared" ca="1" si="3"/>
        <v>3</v>
      </c>
      <c r="H250" s="14">
        <v>3</v>
      </c>
      <c r="I250" s="25">
        <v>0</v>
      </c>
      <c r="J250" s="12" t="str">
        <f ca="1">VLOOKUP(RANDBETWEEN(1,6),TipoClima!A:C,3,0)</f>
        <v>Soleado</v>
      </c>
    </row>
    <row r="251" spans="1:10" ht="15.75" thickBot="1" x14ac:dyDescent="0.3">
      <c r="A251" s="8" t="s">
        <v>487</v>
      </c>
      <c r="B251" s="18">
        <v>46105</v>
      </c>
      <c r="C251" s="21">
        <v>0.15571796896690737</v>
      </c>
      <c r="D251" s="11" t="s">
        <v>272</v>
      </c>
      <c r="E251" s="11" t="str">
        <f ca="1">VLOOKUP(RANDBETWEEN(1,8),TipoAccidente!A:C,3,0)</f>
        <v>Volcamiento</v>
      </c>
      <c r="F251" s="11" t="str">
        <f ca="1">VLOOKUP(RANDBETWEEN(1,8),TipoAutomovilResponsable!A:C,3,0)</f>
        <v>Tractocamión</v>
      </c>
      <c r="G251" s="9">
        <f t="shared" ca="1" si="3"/>
        <v>3</v>
      </c>
      <c r="H251" s="10">
        <v>2</v>
      </c>
      <c r="I251" s="26">
        <v>2</v>
      </c>
      <c r="J251" s="8" t="str">
        <f ca="1">VLOOKUP(RANDBETWEEN(1,6),TipoClima!A:C,3,0)</f>
        <v>Lluvia intensa</v>
      </c>
    </row>
    <row r="252" spans="1:10" ht="15.75" thickBot="1" x14ac:dyDescent="0.3">
      <c r="A252" s="12" t="s">
        <v>488</v>
      </c>
      <c r="B252" s="17">
        <v>46154</v>
      </c>
      <c r="C252" s="20">
        <v>0.77587928755398483</v>
      </c>
      <c r="D252" s="15" t="s">
        <v>280</v>
      </c>
      <c r="E252" s="15" t="str">
        <f ca="1">VLOOKUP(RANDBETWEEN(1,8),TipoAccidente!A:C,3,0)</f>
        <v>Choque entre vehículos</v>
      </c>
      <c r="F252" s="15" t="str">
        <f ca="1">VLOOKUP(RANDBETWEEN(1,8),TipoAutomovilResponsable!A:C,3,0)</f>
        <v>Tractocamión</v>
      </c>
      <c r="G252" s="13">
        <f t="shared" ca="1" si="3"/>
        <v>1</v>
      </c>
      <c r="H252" s="14">
        <v>1</v>
      </c>
      <c r="I252" s="25">
        <v>2</v>
      </c>
      <c r="J252" s="12" t="str">
        <f ca="1">VLOOKUP(RANDBETWEEN(1,6),TipoClima!A:C,3,0)</f>
        <v>Viento fuerte</v>
      </c>
    </row>
    <row r="253" spans="1:10" ht="15.75" thickBot="1" x14ac:dyDescent="0.3">
      <c r="A253" s="8" t="s">
        <v>489</v>
      </c>
      <c r="B253" s="18">
        <v>46080</v>
      </c>
      <c r="C253" s="21">
        <v>8.036372087526733E-2</v>
      </c>
      <c r="D253" s="11" t="s">
        <v>72</v>
      </c>
      <c r="E253" s="11" t="e">
        <f ca="1">VLOOKUP(RANDBETWEEN(1,8),TipoAccidente!A:C,3,0)</f>
        <v>#N/A</v>
      </c>
      <c r="F253" s="11" t="str">
        <f ca="1">VLOOKUP(RANDBETWEEN(1,8),TipoAutomovilResponsable!A:C,3,0)</f>
        <v>Bicicleta</v>
      </c>
      <c r="G253" s="9">
        <f t="shared" ca="1" si="3"/>
        <v>1</v>
      </c>
      <c r="H253" s="10">
        <v>4</v>
      </c>
      <c r="I253" s="26">
        <v>0</v>
      </c>
      <c r="J253" s="8" t="str">
        <f ca="1">VLOOKUP(RANDBETWEEN(1,6),TipoClima!A:C,3,0)</f>
        <v>Soleado</v>
      </c>
    </row>
    <row r="254" spans="1:10" ht="15.75" thickBot="1" x14ac:dyDescent="0.3">
      <c r="A254" s="12" t="s">
        <v>490</v>
      </c>
      <c r="B254" s="17">
        <v>46031</v>
      </c>
      <c r="C254" s="20">
        <v>0.66995583688137406</v>
      </c>
      <c r="D254" s="15" t="s">
        <v>261</v>
      </c>
      <c r="E254" s="15" t="str">
        <f ca="1">VLOOKUP(RANDBETWEEN(1,8),TipoAccidente!A:C,3,0)</f>
        <v>Colisión con objeto fijo</v>
      </c>
      <c r="F254" s="15" t="str">
        <f ca="1">VLOOKUP(RANDBETWEEN(1,8),TipoAutomovilResponsable!A:C,3,0)</f>
        <v>Taxi</v>
      </c>
      <c r="G254" s="13">
        <f t="shared" ca="1" si="3"/>
        <v>2</v>
      </c>
      <c r="H254" s="14">
        <v>3</v>
      </c>
      <c r="I254" s="25">
        <v>0</v>
      </c>
      <c r="J254" s="12" t="str">
        <f ca="1">VLOOKUP(RANDBETWEEN(1,6),TipoClima!A:C,3,0)</f>
        <v>Neblina</v>
      </c>
    </row>
    <row r="255" spans="1:10" ht="15.75" thickBot="1" x14ac:dyDescent="0.3">
      <c r="A255" s="8" t="s">
        <v>491</v>
      </c>
      <c r="B255" s="18">
        <v>46030</v>
      </c>
      <c r="C255" s="21">
        <v>0.60497895590203921</v>
      </c>
      <c r="D255" s="11" t="s">
        <v>68</v>
      </c>
      <c r="E255" s="11" t="str">
        <f ca="1">VLOOKUP(RANDBETWEEN(1,8),TipoAccidente!A:C,3,0)</f>
        <v>Atropello</v>
      </c>
      <c r="F255" s="11" t="str">
        <f ca="1">VLOOKUP(RANDBETWEEN(1,8),TipoAutomovilResponsable!A:C,3,0)</f>
        <v>Camión</v>
      </c>
      <c r="G255" s="9">
        <f t="shared" ca="1" si="3"/>
        <v>2</v>
      </c>
      <c r="H255" s="10">
        <v>5</v>
      </c>
      <c r="I255" s="26">
        <v>2</v>
      </c>
      <c r="J255" s="8" t="str">
        <f ca="1">VLOOKUP(RANDBETWEEN(1,6),TipoClima!A:C,3,0)</f>
        <v>Nublado</v>
      </c>
    </row>
    <row r="256" spans="1:10" ht="15.75" thickBot="1" x14ac:dyDescent="0.3">
      <c r="A256" s="12" t="s">
        <v>492</v>
      </c>
      <c r="B256" s="17">
        <v>46219</v>
      </c>
      <c r="C256" s="20">
        <v>0.74093129437533689</v>
      </c>
      <c r="D256" s="15" t="s">
        <v>277</v>
      </c>
      <c r="E256" s="15" t="e">
        <f ca="1">VLOOKUP(RANDBETWEEN(1,8),TipoAccidente!A:C,3,0)</f>
        <v>#N/A</v>
      </c>
      <c r="F256" s="15" t="str">
        <f ca="1">VLOOKUP(RANDBETWEEN(1,8),TipoAutomovilResponsable!A:C,3,0)</f>
        <v>Bus</v>
      </c>
      <c r="G256" s="13">
        <f t="shared" ca="1" si="3"/>
        <v>3</v>
      </c>
      <c r="H256" s="14">
        <v>1</v>
      </c>
      <c r="I256" s="25">
        <v>2</v>
      </c>
      <c r="J256" s="12" t="str">
        <f ca="1">VLOOKUP(RANDBETWEEN(1,6),TipoClima!A:C,3,0)</f>
        <v>Viento fuerte</v>
      </c>
    </row>
    <row r="257" spans="1:10" ht="15.75" thickBot="1" x14ac:dyDescent="0.3">
      <c r="A257" s="8" t="s">
        <v>493</v>
      </c>
      <c r="B257" s="18">
        <v>46049</v>
      </c>
      <c r="C257" s="21">
        <v>0.19199429269452017</v>
      </c>
      <c r="D257" s="11" t="s">
        <v>34</v>
      </c>
      <c r="E257" s="11" t="str">
        <f ca="1">VLOOKUP(RANDBETWEEN(1,8),TipoAccidente!A:C,3,0)</f>
        <v>Colisión con objeto fijo</v>
      </c>
      <c r="F257" s="11" t="str">
        <f ca="1">VLOOKUP(RANDBETWEEN(1,8),TipoAutomovilResponsable!A:C,3,0)</f>
        <v>Motocicleta</v>
      </c>
      <c r="G257" s="9">
        <f t="shared" ca="1" si="3"/>
        <v>1</v>
      </c>
      <c r="H257" s="10">
        <v>3</v>
      </c>
      <c r="I257" s="26">
        <v>2</v>
      </c>
      <c r="J257" s="8" t="str">
        <f ca="1">VLOOKUP(RANDBETWEEN(1,6),TipoClima!A:C,3,0)</f>
        <v>Soleado</v>
      </c>
    </row>
    <row r="258" spans="1:10" ht="15.75" thickBot="1" x14ac:dyDescent="0.3">
      <c r="A258" s="12" t="s">
        <v>494</v>
      </c>
      <c r="B258" s="17">
        <v>46038</v>
      </c>
      <c r="C258" s="20">
        <v>0.73240944693941457</v>
      </c>
      <c r="D258" s="15" t="s">
        <v>10</v>
      </c>
      <c r="E258" s="15" t="str">
        <f ca="1">VLOOKUP(RANDBETWEEN(1,8),TipoAccidente!A:C,3,0)</f>
        <v>Salida de vía</v>
      </c>
      <c r="F258" s="15" t="str">
        <f ca="1">VLOOKUP(RANDBETWEEN(1,8),TipoAutomovilResponsable!A:C,3,0)</f>
        <v>Bicicleta</v>
      </c>
      <c r="G258" s="13">
        <f t="shared" ca="1" si="3"/>
        <v>1</v>
      </c>
      <c r="H258" s="14">
        <v>5</v>
      </c>
      <c r="I258" s="25">
        <v>0</v>
      </c>
      <c r="J258" s="12" t="str">
        <f ca="1">VLOOKUP(RANDBETWEEN(1,6),TipoClima!A:C,3,0)</f>
        <v>Nublado</v>
      </c>
    </row>
    <row r="259" spans="1:10" ht="15.75" thickBot="1" x14ac:dyDescent="0.3">
      <c r="A259" s="8" t="s">
        <v>495</v>
      </c>
      <c r="B259" s="18">
        <v>46137</v>
      </c>
      <c r="C259" s="21">
        <v>0.78340035491532289</v>
      </c>
      <c r="D259" s="11" t="s">
        <v>266</v>
      </c>
      <c r="E259" s="11" t="e">
        <f ca="1">VLOOKUP(RANDBETWEEN(1,8),TipoAccidente!A:C,3,0)</f>
        <v>#N/A</v>
      </c>
      <c r="F259" s="11" t="str">
        <f ca="1">VLOOKUP(RANDBETWEEN(1,8),TipoAutomovilResponsable!A:C,3,0)</f>
        <v>Bicicleta</v>
      </c>
      <c r="G259" s="9">
        <f t="shared" ref="G259:G301" ca="1" si="4">RANDBETWEEN(1,3)</f>
        <v>3</v>
      </c>
      <c r="H259" s="10">
        <v>3</v>
      </c>
      <c r="I259" s="26">
        <v>0</v>
      </c>
      <c r="J259" s="8" t="str">
        <f ca="1">VLOOKUP(RANDBETWEEN(1,6),TipoClima!A:C,3,0)</f>
        <v>Soleado</v>
      </c>
    </row>
    <row r="260" spans="1:10" ht="15.75" thickBot="1" x14ac:dyDescent="0.3">
      <c r="A260" s="12" t="s">
        <v>496</v>
      </c>
      <c r="B260" s="17">
        <v>46114</v>
      </c>
      <c r="C260" s="20">
        <v>0.23955913776654481</v>
      </c>
      <c r="D260" s="15" t="s">
        <v>12</v>
      </c>
      <c r="E260" s="15" t="str">
        <f ca="1">VLOOKUP(RANDBETWEEN(1,8),TipoAccidente!A:C,3,0)</f>
        <v>Colisión con objeto fijo</v>
      </c>
      <c r="F260" s="15" t="str">
        <f ca="1">VLOOKUP(RANDBETWEEN(1,8),TipoAutomovilResponsable!A:C,3,0)</f>
        <v>Tractocamión</v>
      </c>
      <c r="G260" s="13">
        <f t="shared" ca="1" si="4"/>
        <v>2</v>
      </c>
      <c r="H260" s="14">
        <v>5</v>
      </c>
      <c r="I260" s="25">
        <v>2</v>
      </c>
      <c r="J260" s="12" t="str">
        <f ca="1">VLOOKUP(RANDBETWEEN(1,6),TipoClima!A:C,3,0)</f>
        <v>Nublado</v>
      </c>
    </row>
    <row r="261" spans="1:10" ht="15.75" thickBot="1" x14ac:dyDescent="0.3">
      <c r="A261" s="8" t="s">
        <v>497</v>
      </c>
      <c r="B261" s="18">
        <v>46106</v>
      </c>
      <c r="C261" s="21">
        <v>0.55812417696462779</v>
      </c>
      <c r="D261" s="11" t="s">
        <v>269</v>
      </c>
      <c r="E261" s="11" t="e">
        <f ca="1">VLOOKUP(RANDBETWEEN(1,8),TipoAccidente!A:C,3,0)</f>
        <v>#N/A</v>
      </c>
      <c r="F261" s="11" t="str">
        <f ca="1">VLOOKUP(RANDBETWEEN(1,8),TipoAutomovilResponsable!A:C,3,0)</f>
        <v>Tractocamión</v>
      </c>
      <c r="G261" s="9">
        <f t="shared" ca="1" si="4"/>
        <v>2</v>
      </c>
      <c r="H261" s="10">
        <v>3</v>
      </c>
      <c r="I261" s="26">
        <v>0</v>
      </c>
      <c r="J261" s="8" t="str">
        <f ca="1">VLOOKUP(RANDBETWEEN(1,6),TipoClima!A:C,3,0)</f>
        <v>Neblina</v>
      </c>
    </row>
    <row r="262" spans="1:10" ht="15.75" thickBot="1" x14ac:dyDescent="0.3">
      <c r="A262" s="12" t="s">
        <v>498</v>
      </c>
      <c r="B262" s="17">
        <v>46047</v>
      </c>
      <c r="C262" s="20">
        <v>0.32974121714291882</v>
      </c>
      <c r="D262" s="15" t="s">
        <v>264</v>
      </c>
      <c r="E262" s="15" t="str">
        <f ca="1">VLOOKUP(RANDBETWEEN(1,8),TipoAccidente!A:C,3,0)</f>
        <v>Atropello</v>
      </c>
      <c r="F262" s="15" t="str">
        <f ca="1">VLOOKUP(RANDBETWEEN(1,8),TipoAutomovilResponsable!A:C,3,0)</f>
        <v>Camión</v>
      </c>
      <c r="G262" s="13">
        <f t="shared" ca="1" si="4"/>
        <v>1</v>
      </c>
      <c r="H262" s="14">
        <v>4</v>
      </c>
      <c r="I262" s="25">
        <v>1</v>
      </c>
      <c r="J262" s="12" t="str">
        <f ca="1">VLOOKUP(RANDBETWEEN(1,6),TipoClima!A:C,3,0)</f>
        <v>Viento fuerte</v>
      </c>
    </row>
    <row r="263" spans="1:10" ht="15.75" thickBot="1" x14ac:dyDescent="0.3">
      <c r="A263" s="8" t="s">
        <v>499</v>
      </c>
      <c r="B263" s="18">
        <v>46217</v>
      </c>
      <c r="C263" s="21">
        <v>0.63834477712087057</v>
      </c>
      <c r="D263" s="11" t="s">
        <v>265</v>
      </c>
      <c r="E263" s="11" t="str">
        <f ca="1">VLOOKUP(RANDBETWEEN(1,8),TipoAccidente!A:C,3,0)</f>
        <v>Colisión con objeto fijo</v>
      </c>
      <c r="F263" s="11" t="str">
        <f ca="1">VLOOKUP(RANDBETWEEN(1,8),TipoAutomovilResponsable!A:C,3,0)</f>
        <v>Motocicleta</v>
      </c>
      <c r="G263" s="9">
        <f t="shared" ca="1" si="4"/>
        <v>2</v>
      </c>
      <c r="H263" s="10">
        <v>3</v>
      </c>
      <c r="I263" s="26">
        <v>0</v>
      </c>
      <c r="J263" s="8" t="str">
        <f ca="1">VLOOKUP(RANDBETWEEN(1,6),TipoClima!A:C,3,0)</f>
        <v>Lluvia intensa</v>
      </c>
    </row>
    <row r="264" spans="1:10" ht="15.75" thickBot="1" x14ac:dyDescent="0.3">
      <c r="A264" s="12" t="s">
        <v>500</v>
      </c>
      <c r="B264" s="17">
        <v>46138</v>
      </c>
      <c r="C264" s="20">
        <v>0.27359447745182752</v>
      </c>
      <c r="D264" s="15" t="s">
        <v>271</v>
      </c>
      <c r="E264" s="15" t="e">
        <f ca="1">VLOOKUP(RANDBETWEEN(1,8),TipoAccidente!A:C,3,0)</f>
        <v>#N/A</v>
      </c>
      <c r="F264" s="15" t="str">
        <f ca="1">VLOOKUP(RANDBETWEEN(1,8),TipoAutomovilResponsable!A:C,3,0)</f>
        <v>Camión</v>
      </c>
      <c r="G264" s="13">
        <f t="shared" ca="1" si="4"/>
        <v>1</v>
      </c>
      <c r="H264" s="14">
        <v>4</v>
      </c>
      <c r="I264" s="25">
        <v>0</v>
      </c>
      <c r="J264" s="12" t="str">
        <f ca="1">VLOOKUP(RANDBETWEEN(1,6),TipoClima!A:C,3,0)</f>
        <v>Viento fuerte</v>
      </c>
    </row>
    <row r="265" spans="1:10" ht="15.75" thickBot="1" x14ac:dyDescent="0.3">
      <c r="A265" s="8" t="s">
        <v>501</v>
      </c>
      <c r="B265" s="18">
        <v>46098</v>
      </c>
      <c r="C265" s="21">
        <v>0.92200351451254658</v>
      </c>
      <c r="D265" s="11" t="s">
        <v>260</v>
      </c>
      <c r="E265" s="11" t="e">
        <f ca="1">VLOOKUP(RANDBETWEEN(1,8),TipoAccidente!A:C,3,0)</f>
        <v>#N/A</v>
      </c>
      <c r="F265" s="11" t="str">
        <f ca="1">VLOOKUP(RANDBETWEEN(1,8),TipoAutomovilResponsable!A:C,3,0)</f>
        <v>Camión</v>
      </c>
      <c r="G265" s="9">
        <f t="shared" ca="1" si="4"/>
        <v>3</v>
      </c>
      <c r="H265" s="10">
        <v>1</v>
      </c>
      <c r="I265" s="26">
        <v>0</v>
      </c>
      <c r="J265" s="8" t="str">
        <f ca="1">VLOOKUP(RANDBETWEEN(1,6),TipoClima!A:C,3,0)</f>
        <v>Viento fuerte</v>
      </c>
    </row>
    <row r="266" spans="1:10" ht="15.75" thickBot="1" x14ac:dyDescent="0.3">
      <c r="A266" s="12" t="s">
        <v>502</v>
      </c>
      <c r="B266" s="17">
        <v>46123</v>
      </c>
      <c r="C266" s="20">
        <v>0.24495165793806051</v>
      </c>
      <c r="D266" s="15" t="s">
        <v>24</v>
      </c>
      <c r="E266" s="15" t="str">
        <f ca="1">VLOOKUP(RANDBETWEEN(1,8),TipoAccidente!A:C,3,0)</f>
        <v>Salida de vía</v>
      </c>
      <c r="F266" s="15" t="str">
        <f ca="1">VLOOKUP(RANDBETWEEN(1,8),TipoAutomovilResponsable!A:C,3,0)</f>
        <v>Bus</v>
      </c>
      <c r="G266" s="13">
        <f t="shared" ca="1" si="4"/>
        <v>1</v>
      </c>
      <c r="H266" s="14">
        <v>4</v>
      </c>
      <c r="I266" s="25">
        <v>2</v>
      </c>
      <c r="J266" s="12" t="str">
        <f ca="1">VLOOKUP(RANDBETWEEN(1,6),TipoClima!A:C,3,0)</f>
        <v>Soleado</v>
      </c>
    </row>
    <row r="267" spans="1:10" ht="15.75" thickBot="1" x14ac:dyDescent="0.3">
      <c r="A267" s="8" t="s">
        <v>503</v>
      </c>
      <c r="B267" s="18">
        <v>46181</v>
      </c>
      <c r="C267" s="21">
        <v>0.60218662974787562</v>
      </c>
      <c r="D267" s="11" t="s">
        <v>251</v>
      </c>
      <c r="E267" s="11" t="e">
        <f ca="1">VLOOKUP(RANDBETWEEN(1,8),TipoAccidente!A:C,3,0)</f>
        <v>#N/A</v>
      </c>
      <c r="F267" s="11" t="str">
        <f ca="1">VLOOKUP(RANDBETWEEN(1,8),TipoAutomovilResponsable!A:C,3,0)</f>
        <v>Motocicleta</v>
      </c>
      <c r="G267" s="9">
        <f t="shared" ca="1" si="4"/>
        <v>2</v>
      </c>
      <c r="H267" s="10">
        <v>5</v>
      </c>
      <c r="I267" s="26">
        <v>1</v>
      </c>
      <c r="J267" s="8" t="str">
        <f ca="1">VLOOKUP(RANDBETWEEN(1,6),TipoClima!A:C,3,0)</f>
        <v>Viento fuerte</v>
      </c>
    </row>
    <row r="268" spans="1:10" ht="15.75" thickBot="1" x14ac:dyDescent="0.3">
      <c r="A268" s="12" t="s">
        <v>504</v>
      </c>
      <c r="B268" s="17">
        <v>46150</v>
      </c>
      <c r="C268" s="20">
        <v>0.29128161671763009</v>
      </c>
      <c r="D268" s="15" t="s">
        <v>74</v>
      </c>
      <c r="E268" s="15" t="str">
        <f ca="1">VLOOKUP(RANDBETWEEN(1,8),TipoAccidente!A:C,3,0)</f>
        <v>Colisión con objeto fijo</v>
      </c>
      <c r="F268" s="15" t="str">
        <f ca="1">VLOOKUP(RANDBETWEEN(1,8),TipoAutomovilResponsable!A:C,3,0)</f>
        <v>Taxi</v>
      </c>
      <c r="G268" s="13">
        <f t="shared" ca="1" si="4"/>
        <v>1</v>
      </c>
      <c r="H268" s="14">
        <v>4</v>
      </c>
      <c r="I268" s="25">
        <v>2</v>
      </c>
      <c r="J268" s="12" t="str">
        <f ca="1">VLOOKUP(RANDBETWEEN(1,6),TipoClima!A:C,3,0)</f>
        <v>Neblina</v>
      </c>
    </row>
    <row r="269" spans="1:10" ht="15.75" thickBot="1" x14ac:dyDescent="0.3">
      <c r="A269" s="8" t="s">
        <v>505</v>
      </c>
      <c r="B269" s="18">
        <v>46035</v>
      </c>
      <c r="C269" s="21">
        <v>0.46699891504198476</v>
      </c>
      <c r="D269" s="11" t="s">
        <v>82</v>
      </c>
      <c r="E269" s="11" t="e">
        <f ca="1">VLOOKUP(RANDBETWEEN(1,8),TipoAccidente!A:C,3,0)</f>
        <v>#N/A</v>
      </c>
      <c r="F269" s="11" t="str">
        <f ca="1">VLOOKUP(RANDBETWEEN(1,8),TipoAutomovilResponsable!A:C,3,0)</f>
        <v>Motocicleta</v>
      </c>
      <c r="G269" s="9">
        <f t="shared" ca="1" si="4"/>
        <v>3</v>
      </c>
      <c r="H269" s="10">
        <v>3</v>
      </c>
      <c r="I269" s="26">
        <v>2</v>
      </c>
      <c r="J269" s="8" t="str">
        <f ca="1">VLOOKUP(RANDBETWEEN(1,6),TipoClima!A:C,3,0)</f>
        <v>Neblina</v>
      </c>
    </row>
    <row r="270" spans="1:10" ht="15.75" thickBot="1" x14ac:dyDescent="0.3">
      <c r="A270" s="12" t="s">
        <v>506</v>
      </c>
      <c r="B270" s="17">
        <v>46131</v>
      </c>
      <c r="C270" s="20">
        <v>0.80528402672981603</v>
      </c>
      <c r="D270" s="15" t="s">
        <v>48</v>
      </c>
      <c r="E270" s="15" t="e">
        <f ca="1">VLOOKUP(RANDBETWEEN(1,8),TipoAccidente!A:C,3,0)</f>
        <v>#N/A</v>
      </c>
      <c r="F270" s="15" t="str">
        <f ca="1">VLOOKUP(RANDBETWEEN(1,8),TipoAutomovilResponsable!A:C,3,0)</f>
        <v>Bus</v>
      </c>
      <c r="G270" s="13">
        <f t="shared" ca="1" si="4"/>
        <v>1</v>
      </c>
      <c r="H270" s="14">
        <v>3</v>
      </c>
      <c r="I270" s="25">
        <v>2</v>
      </c>
      <c r="J270" s="12" t="str">
        <f ca="1">VLOOKUP(RANDBETWEEN(1,6),TipoClima!A:C,3,0)</f>
        <v>Viento fuerte</v>
      </c>
    </row>
    <row r="271" spans="1:10" ht="15.75" thickBot="1" x14ac:dyDescent="0.3">
      <c r="A271" s="8" t="s">
        <v>507</v>
      </c>
      <c r="B271" s="18">
        <v>46026</v>
      </c>
      <c r="C271" s="21">
        <v>0.67600625676266146</v>
      </c>
      <c r="D271" s="11" t="s">
        <v>277</v>
      </c>
      <c r="E271" s="11" t="e">
        <f ca="1">VLOOKUP(RANDBETWEEN(1,8),TipoAccidente!A:C,3,0)</f>
        <v>#N/A</v>
      </c>
      <c r="F271" s="11" t="str">
        <f ca="1">VLOOKUP(RANDBETWEEN(1,8),TipoAutomovilResponsable!A:C,3,0)</f>
        <v>Camión</v>
      </c>
      <c r="G271" s="9">
        <f t="shared" ca="1" si="4"/>
        <v>3</v>
      </c>
      <c r="H271" s="10">
        <v>5</v>
      </c>
      <c r="I271" s="26">
        <v>0</v>
      </c>
      <c r="J271" s="8" t="str">
        <f ca="1">VLOOKUP(RANDBETWEEN(1,6),TipoClima!A:C,3,0)</f>
        <v>Viento fuerte</v>
      </c>
    </row>
    <row r="272" spans="1:10" ht="15.75" thickBot="1" x14ac:dyDescent="0.3">
      <c r="A272" s="12" t="s">
        <v>508</v>
      </c>
      <c r="B272" s="17">
        <v>46060</v>
      </c>
      <c r="C272" s="20">
        <v>0.65559962310987285</v>
      </c>
      <c r="D272" s="15" t="s">
        <v>248</v>
      </c>
      <c r="E272" s="15" t="e">
        <f ca="1">VLOOKUP(RANDBETWEEN(1,8),TipoAccidente!A:C,3,0)</f>
        <v>#N/A</v>
      </c>
      <c r="F272" s="15" t="str">
        <f ca="1">VLOOKUP(RANDBETWEEN(1,8),TipoAutomovilResponsable!A:C,3,0)</f>
        <v>Bus</v>
      </c>
      <c r="G272" s="13">
        <f t="shared" ca="1" si="4"/>
        <v>2</v>
      </c>
      <c r="H272" s="14">
        <v>4</v>
      </c>
      <c r="I272" s="25">
        <v>2</v>
      </c>
      <c r="J272" s="12" t="str">
        <f ca="1">VLOOKUP(RANDBETWEEN(1,6),TipoClima!A:C,3,0)</f>
        <v>Nublado</v>
      </c>
    </row>
    <row r="273" spans="1:10" ht="15.75" thickBot="1" x14ac:dyDescent="0.3">
      <c r="A273" s="8" t="s">
        <v>509</v>
      </c>
      <c r="B273" s="18">
        <v>46087</v>
      </c>
      <c r="C273" s="21">
        <v>0.18420626177556065</v>
      </c>
      <c r="D273" s="11" t="s">
        <v>274</v>
      </c>
      <c r="E273" s="11" t="str">
        <f ca="1">VLOOKUP(RANDBETWEEN(1,8),TipoAccidente!A:C,3,0)</f>
        <v>Salida de vía</v>
      </c>
      <c r="F273" s="11" t="str">
        <f ca="1">VLOOKUP(RANDBETWEEN(1,8),TipoAutomovilResponsable!A:C,3,0)</f>
        <v>Bus</v>
      </c>
      <c r="G273" s="9">
        <f t="shared" ca="1" si="4"/>
        <v>1</v>
      </c>
      <c r="H273" s="10">
        <v>1</v>
      </c>
      <c r="I273" s="26">
        <v>2</v>
      </c>
      <c r="J273" s="8" t="str">
        <f ca="1">VLOOKUP(RANDBETWEEN(1,6),TipoClima!A:C,3,0)</f>
        <v>Neblina</v>
      </c>
    </row>
    <row r="274" spans="1:10" ht="15.75" thickBot="1" x14ac:dyDescent="0.3">
      <c r="A274" s="12" t="s">
        <v>510</v>
      </c>
      <c r="B274" s="17">
        <v>46072</v>
      </c>
      <c r="C274" s="20">
        <v>0.94714591929329928</v>
      </c>
      <c r="D274" s="15" t="s">
        <v>15</v>
      </c>
      <c r="E274" s="15" t="str">
        <f ca="1">VLOOKUP(RANDBETWEEN(1,8),TipoAccidente!A:C,3,0)</f>
        <v>Colisión con objeto fijo</v>
      </c>
      <c r="F274" s="15" t="str">
        <f ca="1">VLOOKUP(RANDBETWEEN(1,8),TipoAutomovilResponsable!A:C,3,0)</f>
        <v>Motocicleta</v>
      </c>
      <c r="G274" s="13">
        <f t="shared" ca="1" si="4"/>
        <v>1</v>
      </c>
      <c r="H274" s="14">
        <v>4</v>
      </c>
      <c r="I274" s="25">
        <v>2</v>
      </c>
      <c r="J274" s="12" t="str">
        <f ca="1">VLOOKUP(RANDBETWEEN(1,6),TipoClima!A:C,3,0)</f>
        <v>Lluvia ligera</v>
      </c>
    </row>
    <row r="275" spans="1:10" ht="15.75" thickBot="1" x14ac:dyDescent="0.3">
      <c r="A275" s="8" t="s">
        <v>511</v>
      </c>
      <c r="B275" s="18">
        <v>46225</v>
      </c>
      <c r="C275" s="21">
        <v>3.0953930670562513E-2</v>
      </c>
      <c r="D275" s="11" t="s">
        <v>42</v>
      </c>
      <c r="E275" s="11" t="e">
        <f ca="1">VLOOKUP(RANDBETWEEN(1,8),TipoAccidente!A:C,3,0)</f>
        <v>#N/A</v>
      </c>
      <c r="F275" s="11" t="str">
        <f ca="1">VLOOKUP(RANDBETWEEN(1,8),TipoAutomovilResponsable!A:C,3,0)</f>
        <v>Bus</v>
      </c>
      <c r="G275" s="9">
        <f t="shared" ca="1" si="4"/>
        <v>2</v>
      </c>
      <c r="H275" s="10">
        <v>3</v>
      </c>
      <c r="I275" s="26">
        <v>1</v>
      </c>
      <c r="J275" s="8" t="str">
        <f ca="1">VLOOKUP(RANDBETWEEN(1,6),TipoClima!A:C,3,0)</f>
        <v>Neblina</v>
      </c>
    </row>
    <row r="276" spans="1:10" ht="15.75" thickBot="1" x14ac:dyDescent="0.3">
      <c r="A276" s="12" t="s">
        <v>512</v>
      </c>
      <c r="B276" s="17">
        <v>46134</v>
      </c>
      <c r="C276" s="20">
        <v>0.27542246990673003</v>
      </c>
      <c r="D276" s="15" t="s">
        <v>249</v>
      </c>
      <c r="E276" s="15" t="e">
        <f ca="1">VLOOKUP(RANDBETWEEN(1,8),TipoAccidente!A:C,3,0)</f>
        <v>#N/A</v>
      </c>
      <c r="F276" s="15" t="str">
        <f ca="1">VLOOKUP(RANDBETWEEN(1,8),TipoAutomovilResponsable!A:C,3,0)</f>
        <v>Tractocamión</v>
      </c>
      <c r="G276" s="13">
        <f t="shared" ca="1" si="4"/>
        <v>2</v>
      </c>
      <c r="H276" s="14">
        <v>4</v>
      </c>
      <c r="I276" s="25">
        <v>2</v>
      </c>
      <c r="J276" s="12" t="str">
        <f ca="1">VLOOKUP(RANDBETWEEN(1,6),TipoClima!A:C,3,0)</f>
        <v>Lluvia intensa</v>
      </c>
    </row>
    <row r="277" spans="1:10" ht="15.75" thickBot="1" x14ac:dyDescent="0.3">
      <c r="A277" s="8" t="s">
        <v>513</v>
      </c>
      <c r="B277" s="18">
        <v>46140</v>
      </c>
      <c r="C277" s="21">
        <v>0.80888874921949838</v>
      </c>
      <c r="D277" s="11" t="s">
        <v>281</v>
      </c>
      <c r="E277" s="11" t="str">
        <f ca="1">VLOOKUP(RANDBETWEEN(1,8),TipoAccidente!A:C,3,0)</f>
        <v>Salida de vía</v>
      </c>
      <c r="F277" s="11" t="str">
        <f ca="1">VLOOKUP(RANDBETWEEN(1,8),TipoAutomovilResponsable!A:C,3,0)</f>
        <v>Camioneta</v>
      </c>
      <c r="G277" s="9">
        <f t="shared" ca="1" si="4"/>
        <v>3</v>
      </c>
      <c r="H277" s="10">
        <v>1</v>
      </c>
      <c r="I277" s="26">
        <v>1</v>
      </c>
      <c r="J277" s="8" t="str">
        <f ca="1">VLOOKUP(RANDBETWEEN(1,6),TipoClima!A:C,3,0)</f>
        <v>Neblina</v>
      </c>
    </row>
    <row r="278" spans="1:10" ht="15.75" thickBot="1" x14ac:dyDescent="0.3">
      <c r="A278" s="12" t="s">
        <v>514</v>
      </c>
      <c r="B278" s="17">
        <v>46215</v>
      </c>
      <c r="C278" s="20">
        <v>0.89523851219762651</v>
      </c>
      <c r="D278" s="15" t="s">
        <v>94</v>
      </c>
      <c r="E278" s="15" t="str">
        <f ca="1">VLOOKUP(RANDBETWEEN(1,8),TipoAccidente!A:C,3,0)</f>
        <v>Atropello</v>
      </c>
      <c r="F278" s="15" t="str">
        <f ca="1">VLOOKUP(RANDBETWEEN(1,8),TipoAutomovilResponsable!A:C,3,0)</f>
        <v>Bicicleta</v>
      </c>
      <c r="G278" s="13">
        <f t="shared" ca="1" si="4"/>
        <v>3</v>
      </c>
      <c r="H278" s="14">
        <v>1</v>
      </c>
      <c r="I278" s="25">
        <v>2</v>
      </c>
      <c r="J278" s="12" t="str">
        <f ca="1">VLOOKUP(RANDBETWEEN(1,6),TipoClima!A:C,3,0)</f>
        <v>Neblina</v>
      </c>
    </row>
    <row r="279" spans="1:10" ht="15.75" thickBot="1" x14ac:dyDescent="0.3">
      <c r="A279" s="8" t="s">
        <v>515</v>
      </c>
      <c r="B279" s="18">
        <v>46180</v>
      </c>
      <c r="C279" s="21">
        <v>0.62550139249183279</v>
      </c>
      <c r="D279" s="11" t="s">
        <v>78</v>
      </c>
      <c r="E279" s="11" t="str">
        <f ca="1">VLOOKUP(RANDBETWEEN(1,8),TipoAccidente!A:C,3,0)</f>
        <v>Atropello</v>
      </c>
      <c r="F279" s="11" t="str">
        <f ca="1">VLOOKUP(RANDBETWEEN(1,8),TipoAutomovilResponsable!A:C,3,0)</f>
        <v>Motocicleta</v>
      </c>
      <c r="G279" s="9">
        <f t="shared" ca="1" si="4"/>
        <v>3</v>
      </c>
      <c r="H279" s="10">
        <v>3</v>
      </c>
      <c r="I279" s="26">
        <v>0</v>
      </c>
      <c r="J279" s="8" t="str">
        <f ca="1">VLOOKUP(RANDBETWEEN(1,6),TipoClima!A:C,3,0)</f>
        <v>Neblina</v>
      </c>
    </row>
    <row r="280" spans="1:10" ht="15.75" thickBot="1" x14ac:dyDescent="0.3">
      <c r="A280" s="12" t="s">
        <v>516</v>
      </c>
      <c r="B280" s="17">
        <v>46051</v>
      </c>
      <c r="C280" s="20">
        <v>0.75532480710501204</v>
      </c>
      <c r="D280" s="15" t="s">
        <v>78</v>
      </c>
      <c r="E280" s="15" t="str">
        <f ca="1">VLOOKUP(RANDBETWEEN(1,8),TipoAccidente!A:C,3,0)</f>
        <v>Atropello</v>
      </c>
      <c r="F280" s="15" t="str">
        <f ca="1">VLOOKUP(RANDBETWEEN(1,8),TipoAutomovilResponsable!A:C,3,0)</f>
        <v>Tractocamión</v>
      </c>
      <c r="G280" s="13">
        <f t="shared" ca="1" si="4"/>
        <v>3</v>
      </c>
      <c r="H280" s="14">
        <v>4</v>
      </c>
      <c r="I280" s="25">
        <v>1</v>
      </c>
      <c r="J280" s="12" t="str">
        <f ca="1">VLOOKUP(RANDBETWEEN(1,6),TipoClima!A:C,3,0)</f>
        <v>Viento fuerte</v>
      </c>
    </row>
    <row r="281" spans="1:10" ht="15.75" thickBot="1" x14ac:dyDescent="0.3">
      <c r="A281" s="8" t="s">
        <v>517</v>
      </c>
      <c r="B281" s="18">
        <v>46107</v>
      </c>
      <c r="C281" s="21">
        <v>0.49580058815157024</v>
      </c>
      <c r="D281" s="11" t="s">
        <v>250</v>
      </c>
      <c r="E281" s="11" t="str">
        <f ca="1">VLOOKUP(RANDBETWEEN(1,8),TipoAccidente!A:C,3,0)</f>
        <v>Choque entre vehículos</v>
      </c>
      <c r="F281" s="11" t="str">
        <f ca="1">VLOOKUP(RANDBETWEEN(1,8),TipoAutomovilResponsable!A:C,3,0)</f>
        <v>Taxi</v>
      </c>
      <c r="G281" s="9">
        <f t="shared" ca="1" si="4"/>
        <v>2</v>
      </c>
      <c r="H281" s="10">
        <v>1</v>
      </c>
      <c r="I281" s="26">
        <v>0</v>
      </c>
      <c r="J281" s="8" t="str">
        <f ca="1">VLOOKUP(RANDBETWEEN(1,6),TipoClima!A:C,3,0)</f>
        <v>Soleado</v>
      </c>
    </row>
    <row r="282" spans="1:10" ht="15.75" thickBot="1" x14ac:dyDescent="0.3">
      <c r="A282" s="12" t="s">
        <v>518</v>
      </c>
      <c r="B282" s="17">
        <v>46098</v>
      </c>
      <c r="C282" s="20">
        <v>0.77652656717579138</v>
      </c>
      <c r="D282" s="15" t="s">
        <v>263</v>
      </c>
      <c r="E282" s="15" t="str">
        <f ca="1">VLOOKUP(RANDBETWEEN(1,8),TipoAccidente!A:C,3,0)</f>
        <v>Volcamiento</v>
      </c>
      <c r="F282" s="15" t="str">
        <f ca="1">VLOOKUP(RANDBETWEEN(1,8),TipoAutomovilResponsable!A:C,3,0)</f>
        <v>Bicicleta</v>
      </c>
      <c r="G282" s="13">
        <f t="shared" ca="1" si="4"/>
        <v>1</v>
      </c>
      <c r="H282" s="14">
        <v>4</v>
      </c>
      <c r="I282" s="25">
        <v>2</v>
      </c>
      <c r="J282" s="12" t="str">
        <f ca="1">VLOOKUP(RANDBETWEEN(1,6),TipoClima!A:C,3,0)</f>
        <v>Soleado</v>
      </c>
    </row>
    <row r="283" spans="1:10" ht="15.75" thickBot="1" x14ac:dyDescent="0.3">
      <c r="A283" s="8" t="s">
        <v>519</v>
      </c>
      <c r="B283" s="18">
        <v>46144</v>
      </c>
      <c r="C283" s="21">
        <v>0.16999485217062982</v>
      </c>
      <c r="D283" s="11" t="s">
        <v>88</v>
      </c>
      <c r="E283" s="11" t="str">
        <f ca="1">VLOOKUP(RANDBETWEEN(1,8),TipoAccidente!A:C,3,0)</f>
        <v>Volcamiento</v>
      </c>
      <c r="F283" s="11" t="str">
        <f ca="1">VLOOKUP(RANDBETWEEN(1,8),TipoAutomovilResponsable!A:C,3,0)</f>
        <v>Camión</v>
      </c>
      <c r="G283" s="9">
        <f t="shared" ca="1" si="4"/>
        <v>1</v>
      </c>
      <c r="H283" s="10">
        <v>4</v>
      </c>
      <c r="I283" s="26">
        <v>2</v>
      </c>
      <c r="J283" s="8" t="str">
        <f ca="1">VLOOKUP(RANDBETWEEN(1,6),TipoClima!A:C,3,0)</f>
        <v>Lluvia intensa</v>
      </c>
    </row>
    <row r="284" spans="1:10" ht="15.75" thickBot="1" x14ac:dyDescent="0.3">
      <c r="A284" s="12" t="s">
        <v>520</v>
      </c>
      <c r="B284" s="17">
        <v>46197</v>
      </c>
      <c r="C284" s="20">
        <v>0.25242916743242638</v>
      </c>
      <c r="D284" s="15" t="s">
        <v>26</v>
      </c>
      <c r="E284" s="15" t="str">
        <f ca="1">VLOOKUP(RANDBETWEEN(1,8),TipoAccidente!A:C,3,0)</f>
        <v>Choque entre vehículos</v>
      </c>
      <c r="F284" s="15" t="str">
        <f ca="1">VLOOKUP(RANDBETWEEN(1,8),TipoAutomovilResponsable!A:C,3,0)</f>
        <v>Automóvil</v>
      </c>
      <c r="G284" s="13">
        <f t="shared" ca="1" si="4"/>
        <v>2</v>
      </c>
      <c r="H284" s="14">
        <v>3</v>
      </c>
      <c r="I284" s="25">
        <v>1</v>
      </c>
      <c r="J284" s="12" t="str">
        <f ca="1">VLOOKUP(RANDBETWEEN(1,6),TipoClima!A:C,3,0)</f>
        <v>Lluvia intensa</v>
      </c>
    </row>
    <row r="285" spans="1:10" ht="15.75" thickBot="1" x14ac:dyDescent="0.3">
      <c r="A285" s="8" t="s">
        <v>521</v>
      </c>
      <c r="B285" s="18">
        <v>46142</v>
      </c>
      <c r="C285" s="21">
        <v>1.5191193011086845E-2</v>
      </c>
      <c r="D285" s="11" t="s">
        <v>92</v>
      </c>
      <c r="E285" s="11" t="str">
        <f ca="1">VLOOKUP(RANDBETWEEN(1,8),TipoAccidente!A:C,3,0)</f>
        <v>Salida de vía</v>
      </c>
      <c r="F285" s="11" t="str">
        <f ca="1">VLOOKUP(RANDBETWEEN(1,8),TipoAutomovilResponsable!A:C,3,0)</f>
        <v>Bus</v>
      </c>
      <c r="G285" s="9">
        <f t="shared" ca="1" si="4"/>
        <v>2</v>
      </c>
      <c r="H285" s="10">
        <v>4</v>
      </c>
      <c r="I285" s="26">
        <v>0</v>
      </c>
      <c r="J285" s="8" t="str">
        <f ca="1">VLOOKUP(RANDBETWEEN(1,6),TipoClima!A:C,3,0)</f>
        <v>Neblina</v>
      </c>
    </row>
    <row r="286" spans="1:10" ht="15.75" thickBot="1" x14ac:dyDescent="0.3">
      <c r="A286" s="12" t="s">
        <v>522</v>
      </c>
      <c r="B286" s="17">
        <v>46190</v>
      </c>
      <c r="C286" s="20">
        <v>0.54855379343877764</v>
      </c>
      <c r="D286" s="15" t="s">
        <v>60</v>
      </c>
      <c r="E286" s="15" t="str">
        <f ca="1">VLOOKUP(RANDBETWEEN(1,8),TipoAccidente!A:C,3,0)</f>
        <v>Volcamiento</v>
      </c>
      <c r="F286" s="15" t="str">
        <f ca="1">VLOOKUP(RANDBETWEEN(1,8),TipoAutomovilResponsable!A:C,3,0)</f>
        <v>Bus</v>
      </c>
      <c r="G286" s="13">
        <f t="shared" ca="1" si="4"/>
        <v>3</v>
      </c>
      <c r="H286" s="14">
        <v>1</v>
      </c>
      <c r="I286" s="25">
        <v>1</v>
      </c>
      <c r="J286" s="12" t="str">
        <f ca="1">VLOOKUP(RANDBETWEEN(1,6),TipoClima!A:C,3,0)</f>
        <v>Soleado</v>
      </c>
    </row>
    <row r="287" spans="1:10" ht="15.75" thickBot="1" x14ac:dyDescent="0.3">
      <c r="A287" s="8" t="s">
        <v>523</v>
      </c>
      <c r="B287" s="18">
        <v>46180</v>
      </c>
      <c r="C287" s="21">
        <v>0.68093978578318948</v>
      </c>
      <c r="D287" s="11" t="s">
        <v>84</v>
      </c>
      <c r="E287" s="11" t="str">
        <f ca="1">VLOOKUP(RANDBETWEEN(1,8),TipoAccidente!A:C,3,0)</f>
        <v>Choque entre vehículos</v>
      </c>
      <c r="F287" s="11" t="str">
        <f ca="1">VLOOKUP(RANDBETWEEN(1,8),TipoAutomovilResponsable!A:C,3,0)</f>
        <v>Bus</v>
      </c>
      <c r="G287" s="9">
        <f t="shared" ca="1" si="4"/>
        <v>1</v>
      </c>
      <c r="H287" s="10">
        <v>2</v>
      </c>
      <c r="I287" s="26">
        <v>2</v>
      </c>
      <c r="J287" s="8" t="str">
        <f ca="1">VLOOKUP(RANDBETWEEN(1,6),TipoClima!A:C,3,0)</f>
        <v>Soleado</v>
      </c>
    </row>
    <row r="288" spans="1:10" ht="15.75" thickBot="1" x14ac:dyDescent="0.3">
      <c r="A288" s="12" t="s">
        <v>524</v>
      </c>
      <c r="B288" s="17">
        <v>46132</v>
      </c>
      <c r="C288" s="20">
        <v>0.41480055367304824</v>
      </c>
      <c r="D288" s="15" t="s">
        <v>44</v>
      </c>
      <c r="E288" s="15" t="str">
        <f ca="1">VLOOKUP(RANDBETWEEN(1,8),TipoAccidente!A:C,3,0)</f>
        <v>Colisión con objeto fijo</v>
      </c>
      <c r="F288" s="15" t="str">
        <f ca="1">VLOOKUP(RANDBETWEEN(1,8),TipoAutomovilResponsable!A:C,3,0)</f>
        <v>Camión</v>
      </c>
      <c r="G288" s="13">
        <f t="shared" ca="1" si="4"/>
        <v>3</v>
      </c>
      <c r="H288" s="14">
        <v>1</v>
      </c>
      <c r="I288" s="25">
        <v>2</v>
      </c>
      <c r="J288" s="12" t="str">
        <f ca="1">VLOOKUP(RANDBETWEEN(1,6),TipoClima!A:C,3,0)</f>
        <v>Nublado</v>
      </c>
    </row>
    <row r="289" spans="1:10" ht="15.75" thickBot="1" x14ac:dyDescent="0.3">
      <c r="A289" s="8" t="s">
        <v>525</v>
      </c>
      <c r="B289" s="18">
        <v>46052</v>
      </c>
      <c r="C289" s="21">
        <v>0.82898161575544593</v>
      </c>
      <c r="D289" s="11" t="s">
        <v>98</v>
      </c>
      <c r="E289" s="11" t="str">
        <f ca="1">VLOOKUP(RANDBETWEEN(1,8),TipoAccidente!A:C,3,0)</f>
        <v>Colisión con objeto fijo</v>
      </c>
      <c r="F289" s="11" t="str">
        <f ca="1">VLOOKUP(RANDBETWEEN(1,8),TipoAutomovilResponsable!A:C,3,0)</f>
        <v>Camioneta</v>
      </c>
      <c r="G289" s="9">
        <f t="shared" ca="1" si="4"/>
        <v>1</v>
      </c>
      <c r="H289" s="10">
        <v>1</v>
      </c>
      <c r="I289" s="26">
        <v>0</v>
      </c>
      <c r="J289" s="8" t="str">
        <f ca="1">VLOOKUP(RANDBETWEEN(1,6),TipoClima!A:C,3,0)</f>
        <v>Soleado</v>
      </c>
    </row>
    <row r="290" spans="1:10" ht="15.75" thickBot="1" x14ac:dyDescent="0.3">
      <c r="A290" s="12" t="s">
        <v>526</v>
      </c>
      <c r="B290" s="17">
        <v>46180</v>
      </c>
      <c r="C290" s="20">
        <v>0.85161498732101737</v>
      </c>
      <c r="D290" s="15" t="s">
        <v>279</v>
      </c>
      <c r="E290" s="15" t="str">
        <f ca="1">VLOOKUP(RANDBETWEEN(1,8),TipoAccidente!A:C,3,0)</f>
        <v>Salida de vía</v>
      </c>
      <c r="F290" s="15" t="str">
        <f ca="1">VLOOKUP(RANDBETWEEN(1,8),TipoAutomovilResponsable!A:C,3,0)</f>
        <v>Camión</v>
      </c>
      <c r="G290" s="13">
        <f t="shared" ca="1" si="4"/>
        <v>3</v>
      </c>
      <c r="H290" s="14">
        <v>3</v>
      </c>
      <c r="I290" s="25">
        <v>2</v>
      </c>
      <c r="J290" s="12" t="str">
        <f ca="1">VLOOKUP(RANDBETWEEN(1,6),TipoClima!A:C,3,0)</f>
        <v>Neblina</v>
      </c>
    </row>
    <row r="291" spans="1:10" ht="15.75" thickBot="1" x14ac:dyDescent="0.3">
      <c r="A291" s="8" t="s">
        <v>527</v>
      </c>
      <c r="B291" s="18">
        <v>46108</v>
      </c>
      <c r="C291" s="21">
        <v>0.26577252012169994</v>
      </c>
      <c r="D291" s="11" t="s">
        <v>60</v>
      </c>
      <c r="E291" s="11" t="str">
        <f ca="1">VLOOKUP(RANDBETWEEN(1,8),TipoAccidente!A:C,3,0)</f>
        <v>Volcamiento</v>
      </c>
      <c r="F291" s="11" t="str">
        <f ca="1">VLOOKUP(RANDBETWEEN(1,8),TipoAutomovilResponsable!A:C,3,0)</f>
        <v>Bicicleta</v>
      </c>
      <c r="G291" s="9">
        <f t="shared" ca="1" si="4"/>
        <v>1</v>
      </c>
      <c r="H291" s="10">
        <v>5</v>
      </c>
      <c r="I291" s="26">
        <v>0</v>
      </c>
      <c r="J291" s="8" t="str">
        <f ca="1">VLOOKUP(RANDBETWEEN(1,6),TipoClima!A:C,3,0)</f>
        <v>Nublado</v>
      </c>
    </row>
    <row r="292" spans="1:10" ht="15.75" thickBot="1" x14ac:dyDescent="0.3">
      <c r="A292" s="12" t="s">
        <v>528</v>
      </c>
      <c r="B292" s="17">
        <v>46209</v>
      </c>
      <c r="C292" s="20">
        <v>0.63664860440748461</v>
      </c>
      <c r="D292" s="15" t="s">
        <v>52</v>
      </c>
      <c r="E292" s="15" t="str">
        <f ca="1">VLOOKUP(RANDBETWEEN(1,8),TipoAccidente!A:C,3,0)</f>
        <v>Salida de vía</v>
      </c>
      <c r="F292" s="15" t="str">
        <f ca="1">VLOOKUP(RANDBETWEEN(1,8),TipoAutomovilResponsable!A:C,3,0)</f>
        <v>Taxi</v>
      </c>
      <c r="G292" s="13">
        <f t="shared" ca="1" si="4"/>
        <v>3</v>
      </c>
      <c r="H292" s="14">
        <v>2</v>
      </c>
      <c r="I292" s="25">
        <v>2</v>
      </c>
      <c r="J292" s="12" t="str">
        <f ca="1">VLOOKUP(RANDBETWEEN(1,6),TipoClima!A:C,3,0)</f>
        <v>Lluvia intensa</v>
      </c>
    </row>
    <row r="293" spans="1:10" ht="15.75" thickBot="1" x14ac:dyDescent="0.3">
      <c r="A293" s="8" t="s">
        <v>529</v>
      </c>
      <c r="B293" s="18">
        <v>46204</v>
      </c>
      <c r="C293" s="21">
        <v>0.32493352956315746</v>
      </c>
      <c r="D293" s="11" t="s">
        <v>96</v>
      </c>
      <c r="E293" s="11" t="e">
        <f ca="1">VLOOKUP(RANDBETWEEN(1,8),TipoAccidente!A:C,3,0)</f>
        <v>#N/A</v>
      </c>
      <c r="F293" s="11" t="str">
        <f ca="1">VLOOKUP(RANDBETWEEN(1,8),TipoAutomovilResponsable!A:C,3,0)</f>
        <v>Camión</v>
      </c>
      <c r="G293" s="9">
        <f t="shared" ca="1" si="4"/>
        <v>2</v>
      </c>
      <c r="H293" s="10">
        <v>3</v>
      </c>
      <c r="I293" s="26">
        <v>2</v>
      </c>
      <c r="J293" s="8" t="str">
        <f ca="1">VLOOKUP(RANDBETWEEN(1,6),TipoClima!A:C,3,0)</f>
        <v>Lluvia ligera</v>
      </c>
    </row>
    <row r="294" spans="1:10" ht="15.75" thickBot="1" x14ac:dyDescent="0.3">
      <c r="A294" s="12" t="s">
        <v>530</v>
      </c>
      <c r="B294" s="17">
        <v>46103</v>
      </c>
      <c r="C294" s="20">
        <v>6.6595432265336263E-2</v>
      </c>
      <c r="D294" s="15" t="s">
        <v>60</v>
      </c>
      <c r="E294" s="15" t="e">
        <f ca="1">VLOOKUP(RANDBETWEEN(1,8),TipoAccidente!A:C,3,0)</f>
        <v>#N/A</v>
      </c>
      <c r="F294" s="15" t="str">
        <f ca="1">VLOOKUP(RANDBETWEEN(1,8),TipoAutomovilResponsable!A:C,3,0)</f>
        <v>Camioneta</v>
      </c>
      <c r="G294" s="13">
        <f t="shared" ca="1" si="4"/>
        <v>2</v>
      </c>
      <c r="H294" s="14">
        <v>3</v>
      </c>
      <c r="I294" s="25">
        <v>0</v>
      </c>
      <c r="J294" s="12" t="str">
        <f ca="1">VLOOKUP(RANDBETWEEN(1,6),TipoClima!A:C,3,0)</f>
        <v>Lluvia ligera</v>
      </c>
    </row>
    <row r="295" spans="1:10" ht="15.75" thickBot="1" x14ac:dyDescent="0.3">
      <c r="A295" s="8" t="s">
        <v>531</v>
      </c>
      <c r="B295" s="18">
        <v>46164</v>
      </c>
      <c r="C295" s="21">
        <v>0.48091805864278603</v>
      </c>
      <c r="D295" s="11" t="s">
        <v>17</v>
      </c>
      <c r="E295" s="11" t="str">
        <f ca="1">VLOOKUP(RANDBETWEEN(1,8),TipoAccidente!A:C,3,0)</f>
        <v>Colisión con objeto fijo</v>
      </c>
      <c r="F295" s="11" t="str">
        <f ca="1">VLOOKUP(RANDBETWEEN(1,8),TipoAutomovilResponsable!A:C,3,0)</f>
        <v>Taxi</v>
      </c>
      <c r="G295" s="9">
        <f t="shared" ca="1" si="4"/>
        <v>2</v>
      </c>
      <c r="H295" s="10">
        <v>5</v>
      </c>
      <c r="I295" s="26">
        <v>0</v>
      </c>
      <c r="J295" s="8" t="str">
        <f ca="1">VLOOKUP(RANDBETWEEN(1,6),TipoClima!A:C,3,0)</f>
        <v>Lluvia intensa</v>
      </c>
    </row>
    <row r="296" spans="1:10" ht="15.75" thickBot="1" x14ac:dyDescent="0.3">
      <c r="A296" s="12" t="s">
        <v>532</v>
      </c>
      <c r="B296" s="17">
        <v>46085</v>
      </c>
      <c r="C296" s="20">
        <v>0.54843820470731286</v>
      </c>
      <c r="D296" s="15" t="s">
        <v>249</v>
      </c>
      <c r="E296" s="15" t="str">
        <f ca="1">VLOOKUP(RANDBETWEEN(1,8),TipoAccidente!A:C,3,0)</f>
        <v>Salida de vía</v>
      </c>
      <c r="F296" s="15" t="str">
        <f ca="1">VLOOKUP(RANDBETWEEN(1,8),TipoAutomovilResponsable!A:C,3,0)</f>
        <v>Bus</v>
      </c>
      <c r="G296" s="13">
        <f t="shared" ca="1" si="4"/>
        <v>1</v>
      </c>
      <c r="H296" s="14">
        <v>5</v>
      </c>
      <c r="I296" s="25">
        <v>1</v>
      </c>
      <c r="J296" s="12" t="str">
        <f ca="1">VLOOKUP(RANDBETWEEN(1,6),TipoClima!A:C,3,0)</f>
        <v>Neblina</v>
      </c>
    </row>
    <row r="297" spans="1:10" ht="15.75" thickBot="1" x14ac:dyDescent="0.3">
      <c r="A297" s="8" t="s">
        <v>533</v>
      </c>
      <c r="B297" s="18">
        <v>46050</v>
      </c>
      <c r="C297" s="21">
        <v>0.74342848964034214</v>
      </c>
      <c r="D297" s="11" t="s">
        <v>86</v>
      </c>
      <c r="E297" s="11" t="str">
        <f ca="1">VLOOKUP(RANDBETWEEN(1,8),TipoAccidente!A:C,3,0)</f>
        <v>Colisión con objeto fijo</v>
      </c>
      <c r="F297" s="11" t="str">
        <f ca="1">VLOOKUP(RANDBETWEEN(1,8),TipoAutomovilResponsable!A:C,3,0)</f>
        <v>Motocicleta</v>
      </c>
      <c r="G297" s="9">
        <f t="shared" ca="1" si="4"/>
        <v>1</v>
      </c>
      <c r="H297" s="10">
        <v>2</v>
      </c>
      <c r="I297" s="26">
        <v>1</v>
      </c>
      <c r="J297" s="8" t="str">
        <f ca="1">VLOOKUP(RANDBETWEEN(1,6),TipoClima!A:C,3,0)</f>
        <v>Nublado</v>
      </c>
    </row>
    <row r="298" spans="1:10" ht="15.75" thickBot="1" x14ac:dyDescent="0.3">
      <c r="A298" s="12" t="s">
        <v>534</v>
      </c>
      <c r="B298" s="17">
        <v>46052</v>
      </c>
      <c r="C298" s="20">
        <v>0.23619738230702336</v>
      </c>
      <c r="D298" s="15" t="s">
        <v>257</v>
      </c>
      <c r="E298" s="15" t="e">
        <f ca="1">VLOOKUP(RANDBETWEEN(1,8),TipoAccidente!A:C,3,0)</f>
        <v>#N/A</v>
      </c>
      <c r="F298" s="15" t="str">
        <f ca="1">VLOOKUP(RANDBETWEEN(1,8),TipoAutomovilResponsable!A:C,3,0)</f>
        <v>Tractocamión</v>
      </c>
      <c r="G298" s="13">
        <f t="shared" ca="1" si="4"/>
        <v>1</v>
      </c>
      <c r="H298" s="14">
        <v>5</v>
      </c>
      <c r="I298" s="25">
        <v>1</v>
      </c>
      <c r="J298" s="12" t="str">
        <f ca="1">VLOOKUP(RANDBETWEEN(1,6),TipoClima!A:C,3,0)</f>
        <v>Neblina</v>
      </c>
    </row>
    <row r="299" spans="1:10" ht="15.75" thickBot="1" x14ac:dyDescent="0.3">
      <c r="A299" s="8" t="s">
        <v>535</v>
      </c>
      <c r="B299" s="18">
        <v>46211</v>
      </c>
      <c r="C299" s="21">
        <v>0.57937261842941667</v>
      </c>
      <c r="D299" s="11" t="s">
        <v>98</v>
      </c>
      <c r="E299" s="11" t="str">
        <f ca="1">VLOOKUP(RANDBETWEEN(1,8),TipoAccidente!A:C,3,0)</f>
        <v>Volcamiento</v>
      </c>
      <c r="F299" s="11" t="str">
        <f ca="1">VLOOKUP(RANDBETWEEN(1,8),TipoAutomovilResponsable!A:C,3,0)</f>
        <v>Taxi</v>
      </c>
      <c r="G299" s="9">
        <f t="shared" ca="1" si="4"/>
        <v>2</v>
      </c>
      <c r="H299" s="10">
        <v>5</v>
      </c>
      <c r="I299" s="26">
        <v>2</v>
      </c>
      <c r="J299" s="8" t="str">
        <f ca="1">VLOOKUP(RANDBETWEEN(1,6),TipoClima!A:C,3,0)</f>
        <v>Lluvia ligera</v>
      </c>
    </row>
    <row r="300" spans="1:10" ht="15.75" thickBot="1" x14ac:dyDescent="0.3">
      <c r="A300" s="12" t="s">
        <v>536</v>
      </c>
      <c r="B300" s="17">
        <v>46088</v>
      </c>
      <c r="C300" s="20">
        <v>0.18356058958763044</v>
      </c>
      <c r="D300" s="15" t="s">
        <v>277</v>
      </c>
      <c r="E300" s="15" t="str">
        <f ca="1">VLOOKUP(RANDBETWEEN(1,8),TipoAccidente!A:C,3,0)</f>
        <v>Colisión con objeto fijo</v>
      </c>
      <c r="F300" s="15" t="str">
        <f ca="1">VLOOKUP(RANDBETWEEN(1,8),TipoAutomovilResponsable!A:C,3,0)</f>
        <v>Camión</v>
      </c>
      <c r="G300" s="13">
        <f t="shared" ca="1" si="4"/>
        <v>1</v>
      </c>
      <c r="H300" s="14">
        <v>2</v>
      </c>
      <c r="I300" s="25">
        <v>2</v>
      </c>
      <c r="J300" s="12" t="str">
        <f ca="1">VLOOKUP(RANDBETWEEN(1,6),TipoClima!A:C,3,0)</f>
        <v>Viento fuerte</v>
      </c>
    </row>
    <row r="301" spans="1:10" ht="15.75" thickBot="1" x14ac:dyDescent="0.3">
      <c r="A301" s="8" t="s">
        <v>537</v>
      </c>
      <c r="B301" s="18">
        <v>46225</v>
      </c>
      <c r="C301" s="21">
        <v>0.45128895660133461</v>
      </c>
      <c r="D301" s="11" t="s">
        <v>28</v>
      </c>
      <c r="E301" s="11" t="str">
        <f ca="1">VLOOKUP(RANDBETWEEN(1,8),TipoAccidente!A:C,3,0)</f>
        <v>Volcamiento</v>
      </c>
      <c r="F301" s="11" t="str">
        <f ca="1">VLOOKUP(RANDBETWEEN(1,8),TipoAutomovilResponsable!A:C,3,0)</f>
        <v>Automóvil</v>
      </c>
      <c r="G301" s="9">
        <f t="shared" ca="1" si="4"/>
        <v>2</v>
      </c>
      <c r="H301" s="10">
        <v>4</v>
      </c>
      <c r="I301" s="26">
        <v>0</v>
      </c>
      <c r="J301" s="8" t="str">
        <f ca="1">VLOOKUP(RANDBETWEEN(1,6),TipoClima!A:C,3,0)</f>
        <v>Lluvia intensa</v>
      </c>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1"/>
  <sheetViews>
    <sheetView workbookViewId="0">
      <selection activeCell="F18" sqref="F18"/>
    </sheetView>
  </sheetViews>
  <sheetFormatPr baseColWidth="10" defaultColWidth="9.140625" defaultRowHeight="15" x14ac:dyDescent="0.25"/>
  <cols>
    <col min="2" max="2" width="13.5703125" bestFit="1" customWidth="1"/>
    <col min="3" max="3" width="19.28515625" bestFit="1" customWidth="1"/>
    <col min="4" max="4" width="14" bestFit="1" customWidth="1"/>
    <col min="5" max="5" width="20.7109375" bestFit="1" customWidth="1"/>
    <col min="6" max="6" width="20.7109375" customWidth="1"/>
    <col min="7" max="8" width="9.140625" style="2"/>
    <col min="9" max="9" width="15.140625" style="2" bestFit="1" customWidth="1"/>
    <col min="10" max="10" width="16.42578125" style="2" bestFit="1" customWidth="1"/>
    <col min="11" max="11" width="9.7109375" style="2" bestFit="1" customWidth="1"/>
    <col min="12" max="12" width="16.140625" style="2" bestFit="1" customWidth="1"/>
    <col min="13" max="13" width="16.140625" style="32" bestFit="1" customWidth="1"/>
  </cols>
  <sheetData>
    <row r="1" spans="1:13" ht="15.75" thickBot="1" x14ac:dyDescent="0.3">
      <c r="A1" s="5" t="s">
        <v>270</v>
      </c>
      <c r="B1" s="16" t="s">
        <v>3</v>
      </c>
      <c r="C1" s="19" t="s">
        <v>111</v>
      </c>
      <c r="D1" s="7" t="s">
        <v>112</v>
      </c>
      <c r="E1" s="22" t="s">
        <v>113</v>
      </c>
      <c r="F1" s="29" t="s">
        <v>622</v>
      </c>
      <c r="G1" s="6" t="s">
        <v>114</v>
      </c>
      <c r="H1" s="6" t="s">
        <v>115</v>
      </c>
      <c r="I1" s="6" t="s">
        <v>116</v>
      </c>
      <c r="J1" s="6" t="s">
        <v>625</v>
      </c>
      <c r="K1" s="6" t="s">
        <v>117</v>
      </c>
      <c r="L1" s="6" t="s">
        <v>624</v>
      </c>
      <c r="M1" s="33" t="s">
        <v>626</v>
      </c>
    </row>
    <row r="2" spans="1:13" ht="15.75" thickBot="1" x14ac:dyDescent="0.3">
      <c r="A2" s="12">
        <v>1</v>
      </c>
      <c r="B2" s="17" t="s">
        <v>10</v>
      </c>
      <c r="C2" s="20" t="s">
        <v>118</v>
      </c>
      <c r="D2" s="15" t="s">
        <v>230</v>
      </c>
      <c r="E2" s="23" t="e" vm="1">
        <v>#VALUE!</v>
      </c>
      <c r="F2" s="23" t="str">
        <f ca="1">VLOOKUP(RANDBETWEEN(1,5),EstadoVia!A:C,3,0)</f>
        <v>Excelente</v>
      </c>
      <c r="G2" s="13">
        <v>4.2789999999999999</v>
      </c>
      <c r="H2" s="13">
        <v>-71.896000000000001</v>
      </c>
      <c r="I2" s="13" t="str">
        <f ca="1">VLOOKUP(RANDBETWEEN(1,6),TipoVia!A:C,3,0)</f>
        <v>Local</v>
      </c>
      <c r="J2" s="13" t="str">
        <f ca="1">VLOOKUP(RANDBETWEEN(1,6),TipoIntersección!A:C,3,0)</f>
        <v>Paso a desnivel</v>
      </c>
      <c r="K2" s="13" t="s">
        <v>121</v>
      </c>
      <c r="L2" s="13">
        <f ca="1">VLOOKUP(RANDBETWEEN(1,6),Limitevelocidad!A:C,3,0)</f>
        <v>80</v>
      </c>
      <c r="M2" s="14">
        <f ca="1">RANDBETWEEN(5000,50000)</f>
        <v>6667</v>
      </c>
    </row>
    <row r="3" spans="1:13" ht="15.75" thickBot="1" x14ac:dyDescent="0.3">
      <c r="A3" s="8">
        <v>2</v>
      </c>
      <c r="B3" s="18" t="s">
        <v>12</v>
      </c>
      <c r="C3" s="21" t="s">
        <v>122</v>
      </c>
      <c r="D3" s="11" t="s">
        <v>233</v>
      </c>
      <c r="E3" s="24" t="e" vm="2">
        <v>#VALUE!</v>
      </c>
      <c r="F3" s="24" t="str">
        <f ca="1">VLOOKUP(RANDBETWEEN(1,5),EstadoVia!A:C,3,0)</f>
        <v>Excelente</v>
      </c>
      <c r="G3" s="9">
        <v>4.7060000000000004</v>
      </c>
      <c r="H3" s="9">
        <v>-73.763999999999996</v>
      </c>
      <c r="I3" s="9" t="str">
        <f ca="1">VLOOKUP(RANDBETWEEN(1,6),TipoVia!A:C,3,0)</f>
        <v>Autopista</v>
      </c>
      <c r="J3" s="9" t="str">
        <f ca="1">VLOOKUP(RANDBETWEEN(1,6),TipoIntersección!A:C,3,0)</f>
        <v>Glorieta</v>
      </c>
      <c r="K3" s="9" t="s">
        <v>121</v>
      </c>
      <c r="L3" s="9">
        <f ca="1">VLOOKUP(RANDBETWEEN(1,6),Limitevelocidad!A:C,3,0)</f>
        <v>40</v>
      </c>
      <c r="M3" s="10">
        <f t="shared" ref="M3:M66" ca="1" si="0">RANDBETWEEN(5000,50000)</f>
        <v>11297</v>
      </c>
    </row>
    <row r="4" spans="1:13" ht="15.75" thickBot="1" x14ac:dyDescent="0.3">
      <c r="A4" s="12">
        <v>3</v>
      </c>
      <c r="B4" s="17" t="s">
        <v>15</v>
      </c>
      <c r="C4" s="20" t="s">
        <v>125</v>
      </c>
      <c r="D4" s="15" t="s">
        <v>232</v>
      </c>
      <c r="E4" s="23" t="e" vm="3">
        <v>#VALUE!</v>
      </c>
      <c r="F4" s="23" t="str">
        <f ca="1">VLOOKUP(RANDBETWEEN(1,5),EstadoVia!A:C,3,0)</f>
        <v>Malo</v>
      </c>
      <c r="G4" s="13">
        <v>5.43</v>
      </c>
      <c r="H4" s="13">
        <v>-73.95</v>
      </c>
      <c r="I4" s="13" t="str">
        <f ca="1">VLOOKUP(RANDBETWEEN(1,6),TipoVia!A:C,3,0)</f>
        <v>Colectora</v>
      </c>
      <c r="J4" s="13" t="str">
        <f ca="1">VLOOKUP(RANDBETWEEN(1,6),TipoIntersección!A:C,3,0)</f>
        <v>Cruce en X</v>
      </c>
      <c r="K4" s="13" t="s">
        <v>121</v>
      </c>
      <c r="L4" s="13">
        <f ca="1">VLOOKUP(RANDBETWEEN(1,6),Limitevelocidad!A:C,3,0)</f>
        <v>30</v>
      </c>
      <c r="M4" s="14">
        <f t="shared" ca="1" si="0"/>
        <v>15114</v>
      </c>
    </row>
    <row r="5" spans="1:13" ht="15.75" thickBot="1" x14ac:dyDescent="0.3">
      <c r="A5" s="8">
        <v>4</v>
      </c>
      <c r="B5" s="18" t="s">
        <v>17</v>
      </c>
      <c r="C5" s="21" t="s">
        <v>128</v>
      </c>
      <c r="D5" s="11" t="s">
        <v>126</v>
      </c>
      <c r="E5" s="24" t="e" vm="4">
        <v>#VALUE!</v>
      </c>
      <c r="F5" s="24" t="str">
        <f ca="1">VLOOKUP(RANDBETWEEN(1,5),EstadoVia!A:C,3,0)</f>
        <v>Malo</v>
      </c>
      <c r="G5" s="9">
        <v>5.258</v>
      </c>
      <c r="H5" s="9">
        <v>-72.341999999999999</v>
      </c>
      <c r="I5" s="9" t="str">
        <f ca="1">VLOOKUP(RANDBETWEEN(1,6),TipoVia!A:C,3,0)</f>
        <v>Autopista</v>
      </c>
      <c r="J5" s="9" t="str">
        <f ca="1">VLOOKUP(RANDBETWEEN(1,6),TipoIntersección!A:C,3,0)</f>
        <v>Retorno</v>
      </c>
      <c r="K5" s="9" t="s">
        <v>121</v>
      </c>
      <c r="L5" s="9">
        <f ca="1">VLOOKUP(RANDBETWEEN(1,6),Limitevelocidad!A:C,3,0)</f>
        <v>100</v>
      </c>
      <c r="M5" s="10">
        <f t="shared" ca="1" si="0"/>
        <v>13223</v>
      </c>
    </row>
    <row r="6" spans="1:13" ht="15.75" thickBot="1" x14ac:dyDescent="0.3">
      <c r="A6" s="12">
        <v>5</v>
      </c>
      <c r="B6" s="17" t="s">
        <v>20</v>
      </c>
      <c r="C6" s="20" t="s">
        <v>130</v>
      </c>
      <c r="D6" s="15" t="s">
        <v>233</v>
      </c>
      <c r="E6" s="23" t="e" vm="2">
        <v>#VALUE!</v>
      </c>
      <c r="F6" s="23" t="str">
        <f ca="1">VLOOKUP(RANDBETWEEN(1,5),EstadoVia!A:C,3,0)</f>
        <v>Bueno</v>
      </c>
      <c r="G6" s="13">
        <v>5.2089999999999996</v>
      </c>
      <c r="H6" s="13">
        <v>-71.843000000000004</v>
      </c>
      <c r="I6" s="13" t="str">
        <f ca="1">VLOOKUP(RANDBETWEEN(1,6),TipoVia!A:C,3,0)</f>
        <v>Colectora</v>
      </c>
      <c r="J6" s="13" t="str">
        <f ca="1">VLOOKUP(RANDBETWEEN(1,6),TipoIntersección!A:C,3,0)</f>
        <v>Glorieta</v>
      </c>
      <c r="K6" s="13" t="s">
        <v>132</v>
      </c>
      <c r="L6" s="13">
        <f ca="1">VLOOKUP(RANDBETWEEN(1,6),Limitevelocidad!A:C,3,0)</f>
        <v>60</v>
      </c>
      <c r="M6" s="14">
        <f t="shared" ca="1" si="0"/>
        <v>48767</v>
      </c>
    </row>
    <row r="7" spans="1:13" ht="15.75" thickBot="1" x14ac:dyDescent="0.3">
      <c r="A7" s="8">
        <v>6</v>
      </c>
      <c r="B7" s="18" t="s">
        <v>22</v>
      </c>
      <c r="C7" s="21" t="s">
        <v>133</v>
      </c>
      <c r="D7" s="11" t="s">
        <v>131</v>
      </c>
      <c r="E7" s="24" t="e" vm="5">
        <v>#VALUE!</v>
      </c>
      <c r="F7" s="24" t="str">
        <f ca="1">VLOOKUP(RANDBETWEEN(1,5),EstadoVia!A:C,3,0)</f>
        <v>En mantenimiento</v>
      </c>
      <c r="G7" s="9">
        <v>6.4249999999999998</v>
      </c>
      <c r="H7" s="9">
        <v>-71.86</v>
      </c>
      <c r="I7" s="9" t="str">
        <f ca="1">VLOOKUP(RANDBETWEEN(1,6),TipoVia!A:C,3,0)</f>
        <v>Arterial</v>
      </c>
      <c r="J7" s="9" t="str">
        <f ca="1">VLOOKUP(RANDBETWEEN(1,6),TipoIntersección!A:C,3,0)</f>
        <v>Cruce en T</v>
      </c>
      <c r="K7" s="9" t="s">
        <v>121</v>
      </c>
      <c r="L7" s="9">
        <f ca="1">VLOOKUP(RANDBETWEEN(1,6),Limitevelocidad!A:C,3,0)</f>
        <v>50</v>
      </c>
      <c r="M7" s="10">
        <f t="shared" ca="1" si="0"/>
        <v>20005</v>
      </c>
    </row>
    <row r="8" spans="1:13" ht="15.75" thickBot="1" x14ac:dyDescent="0.3">
      <c r="A8" s="12">
        <v>7</v>
      </c>
      <c r="B8" s="17" t="s">
        <v>24</v>
      </c>
      <c r="C8" s="20" t="s">
        <v>134</v>
      </c>
      <c r="D8" s="15" t="s">
        <v>232</v>
      </c>
      <c r="E8" s="23" t="e" vm="3">
        <v>#VALUE!</v>
      </c>
      <c r="F8" s="23" t="str">
        <f ca="1">VLOOKUP(RANDBETWEEN(1,5),EstadoVia!A:C,3,0)</f>
        <v>Bueno</v>
      </c>
      <c r="G8" s="13">
        <v>5.1870000000000003</v>
      </c>
      <c r="H8" s="13">
        <v>-71.956999999999994</v>
      </c>
      <c r="I8" s="13" t="str">
        <f ca="1">VLOOKUP(RANDBETWEEN(1,6),TipoVia!A:C,3,0)</f>
        <v>Colectora</v>
      </c>
      <c r="J8" s="13" t="str">
        <f ca="1">VLOOKUP(RANDBETWEEN(1,6),TipoIntersección!A:C,3,0)</f>
        <v>Intercambiador vial</v>
      </c>
      <c r="K8" s="13" t="s">
        <v>132</v>
      </c>
      <c r="L8" s="13">
        <f ca="1">VLOOKUP(RANDBETWEEN(1,6),Limitevelocidad!A:C,3,0)</f>
        <v>80</v>
      </c>
      <c r="M8" s="14">
        <f t="shared" ca="1" si="0"/>
        <v>34317</v>
      </c>
    </row>
    <row r="9" spans="1:13" ht="15.75" thickBot="1" x14ac:dyDescent="0.3">
      <c r="A9" s="8">
        <v>8</v>
      </c>
      <c r="B9" s="18" t="s">
        <v>26</v>
      </c>
      <c r="C9" s="21" t="s">
        <v>135</v>
      </c>
      <c r="D9" s="11" t="s">
        <v>131</v>
      </c>
      <c r="E9" s="24" t="e" vm="5">
        <v>#VALUE!</v>
      </c>
      <c r="F9" s="24" t="str">
        <f ca="1">VLOOKUP(RANDBETWEEN(1,5),EstadoVia!A:C,3,0)</f>
        <v>Malo</v>
      </c>
      <c r="G9" s="9">
        <v>5.9429999999999996</v>
      </c>
      <c r="H9" s="9">
        <v>-73.605000000000004</v>
      </c>
      <c r="I9" s="9" t="str">
        <f ca="1">VLOOKUP(RANDBETWEEN(1,6),TipoVia!A:C,3,0)</f>
        <v>Local</v>
      </c>
      <c r="J9" s="9" t="str">
        <f ca="1">VLOOKUP(RANDBETWEEN(1,6),TipoIntersección!A:C,3,0)</f>
        <v>Cruce en X</v>
      </c>
      <c r="K9" s="9" t="s">
        <v>121</v>
      </c>
      <c r="L9" s="9">
        <f ca="1">VLOOKUP(RANDBETWEEN(1,6),Limitevelocidad!A:C,3,0)</f>
        <v>100</v>
      </c>
      <c r="M9" s="10">
        <f t="shared" ca="1" si="0"/>
        <v>12794</v>
      </c>
    </row>
    <row r="10" spans="1:13" ht="15.75" thickBot="1" x14ac:dyDescent="0.3">
      <c r="A10" s="12">
        <v>9</v>
      </c>
      <c r="B10" s="17" t="s">
        <v>28</v>
      </c>
      <c r="C10" s="20" t="s">
        <v>136</v>
      </c>
      <c r="D10" s="15" t="s">
        <v>129</v>
      </c>
      <c r="E10" s="23" t="e" vm="6">
        <v>#VALUE!</v>
      </c>
      <c r="F10" s="23" t="str">
        <f ca="1">VLOOKUP(RANDBETWEEN(1,5),EstadoVia!A:C,3,0)</f>
        <v>Malo</v>
      </c>
      <c r="G10" s="13">
        <v>5.0670000000000002</v>
      </c>
      <c r="H10" s="13">
        <v>-72.495999999999995</v>
      </c>
      <c r="I10" s="13" t="str">
        <f ca="1">VLOOKUP(RANDBETWEEN(1,6),TipoVia!A:C,3,0)</f>
        <v>Colectora</v>
      </c>
      <c r="J10" s="13" t="str">
        <f ca="1">VLOOKUP(RANDBETWEEN(1,6),TipoIntersección!A:C,3,0)</f>
        <v>Intercambiador vial</v>
      </c>
      <c r="K10" s="13" t="s">
        <v>121</v>
      </c>
      <c r="L10" s="13">
        <f ca="1">VLOOKUP(RANDBETWEEN(1,6),Limitevelocidad!A:C,3,0)</f>
        <v>100</v>
      </c>
      <c r="M10" s="14">
        <f t="shared" ca="1" si="0"/>
        <v>45523</v>
      </c>
    </row>
    <row r="11" spans="1:13" ht="15.75" thickBot="1" x14ac:dyDescent="0.3">
      <c r="A11" s="8">
        <v>10</v>
      </c>
      <c r="B11" s="18" t="s">
        <v>30</v>
      </c>
      <c r="C11" s="21" t="s">
        <v>137</v>
      </c>
      <c r="D11" s="11" t="s">
        <v>233</v>
      </c>
      <c r="E11" s="24" t="e" vm="2">
        <v>#VALUE!</v>
      </c>
      <c r="F11" s="24" t="str">
        <f ca="1">VLOOKUP(RANDBETWEEN(1,5),EstadoVia!A:C,3,0)</f>
        <v>Bueno</v>
      </c>
      <c r="G11" s="9">
        <v>5.4830000000000014</v>
      </c>
      <c r="H11" s="9">
        <v>-71.364999999999995</v>
      </c>
      <c r="I11" s="9" t="str">
        <f ca="1">VLOOKUP(RANDBETWEEN(1,6),TipoVia!A:C,3,0)</f>
        <v>Avenida</v>
      </c>
      <c r="J11" s="9" t="str">
        <f ca="1">VLOOKUP(RANDBETWEEN(1,6),TipoIntersección!A:C,3,0)</f>
        <v>Intercambiador vial</v>
      </c>
      <c r="K11" s="9" t="s">
        <v>121</v>
      </c>
      <c r="L11" s="9">
        <f ca="1">VLOOKUP(RANDBETWEEN(1,6),Limitevelocidad!A:C,3,0)</f>
        <v>40</v>
      </c>
      <c r="M11" s="10">
        <f t="shared" ca="1" si="0"/>
        <v>45488</v>
      </c>
    </row>
    <row r="12" spans="1:13" ht="15.75" thickBot="1" x14ac:dyDescent="0.3">
      <c r="A12" s="12">
        <v>11</v>
      </c>
      <c r="B12" s="17" t="s">
        <v>32</v>
      </c>
      <c r="C12" s="20" t="s">
        <v>138</v>
      </c>
      <c r="D12" s="15" t="s">
        <v>123</v>
      </c>
      <c r="E12" s="23" t="e" vm="7">
        <v>#VALUE!</v>
      </c>
      <c r="F12" s="23" t="str">
        <f ca="1">VLOOKUP(RANDBETWEEN(1,5),EstadoVia!A:C,3,0)</f>
        <v>Malo</v>
      </c>
      <c r="G12" s="13">
        <v>5.3079999999999998</v>
      </c>
      <c r="H12" s="13">
        <v>-72.552000000000007</v>
      </c>
      <c r="I12" s="13" t="str">
        <f ca="1">VLOOKUP(RANDBETWEEN(1,6),TipoVia!A:C,3,0)</f>
        <v>Local</v>
      </c>
      <c r="J12" s="13" t="str">
        <f ca="1">VLOOKUP(RANDBETWEEN(1,6),TipoIntersección!A:C,3,0)</f>
        <v>Paso a desnivel</v>
      </c>
      <c r="K12" s="13" t="s">
        <v>132</v>
      </c>
      <c r="L12" s="13">
        <f ca="1">VLOOKUP(RANDBETWEEN(1,6),Limitevelocidad!A:C,3,0)</f>
        <v>60</v>
      </c>
      <c r="M12" s="14">
        <f t="shared" ca="1" si="0"/>
        <v>46666</v>
      </c>
    </row>
    <row r="13" spans="1:13" ht="15.75" thickBot="1" x14ac:dyDescent="0.3">
      <c r="A13" s="8">
        <v>12</v>
      </c>
      <c r="B13" s="18" t="s">
        <v>34</v>
      </c>
      <c r="C13" s="21" t="s">
        <v>139</v>
      </c>
      <c r="D13" s="11" t="s">
        <v>123</v>
      </c>
      <c r="E13" s="24" t="e" vm="7">
        <v>#VALUE!</v>
      </c>
      <c r="F13" s="24" t="str">
        <f ca="1">VLOOKUP(RANDBETWEEN(1,5),EstadoVia!A:C,3,0)</f>
        <v>Regular</v>
      </c>
      <c r="G13" s="9">
        <v>6.6070000000000002</v>
      </c>
      <c r="H13" s="9">
        <v>-73.182000000000002</v>
      </c>
      <c r="I13" s="9" t="str">
        <f ca="1">VLOOKUP(RANDBETWEEN(1,6),TipoVia!A:C,3,0)</f>
        <v>Carretera nacional</v>
      </c>
      <c r="J13" s="9" t="str">
        <f ca="1">VLOOKUP(RANDBETWEEN(1,6),TipoIntersección!A:C,3,0)</f>
        <v>Paso a desnivel</v>
      </c>
      <c r="K13" s="9" t="s">
        <v>132</v>
      </c>
      <c r="L13" s="9">
        <f ca="1">VLOOKUP(RANDBETWEEN(1,6),Limitevelocidad!A:C,3,0)</f>
        <v>80</v>
      </c>
      <c r="M13" s="10">
        <f ca="1">RANDBETWEEN(5000,50000)</f>
        <v>29805</v>
      </c>
    </row>
    <row r="14" spans="1:13" ht="15.75" thickBot="1" x14ac:dyDescent="0.3">
      <c r="A14" s="12">
        <v>13</v>
      </c>
      <c r="B14" s="17" t="s">
        <v>36</v>
      </c>
      <c r="C14" s="20" t="s">
        <v>140</v>
      </c>
      <c r="D14" s="15" t="s">
        <v>233</v>
      </c>
      <c r="E14" s="23" t="e" vm="2">
        <v>#VALUE!</v>
      </c>
      <c r="F14" s="23" t="str">
        <f ca="1">VLOOKUP(RANDBETWEEN(1,5),EstadoVia!A:C,3,0)</f>
        <v>En mantenimiento</v>
      </c>
      <c r="G14" s="13">
        <v>6.3040000000000003</v>
      </c>
      <c r="H14" s="13">
        <v>-71.665000000000006</v>
      </c>
      <c r="I14" s="13" t="str">
        <f ca="1">VLOOKUP(RANDBETWEEN(1,6),TipoVia!A:C,3,0)</f>
        <v>Carretera nacional</v>
      </c>
      <c r="J14" s="13" t="str">
        <f ca="1">VLOOKUP(RANDBETWEEN(1,6),TipoIntersección!A:C,3,0)</f>
        <v>Intercambiador vial</v>
      </c>
      <c r="K14" s="13" t="s">
        <v>121</v>
      </c>
      <c r="L14" s="13">
        <f ca="1">VLOOKUP(RANDBETWEEN(1,6),Limitevelocidad!A:C,3,0)</f>
        <v>60</v>
      </c>
      <c r="M14" s="14">
        <f t="shared" ca="1" si="0"/>
        <v>31716</v>
      </c>
    </row>
    <row r="15" spans="1:13" ht="15.75" thickBot="1" x14ac:dyDescent="0.3">
      <c r="A15" s="8">
        <v>14</v>
      </c>
      <c r="B15" s="18" t="s">
        <v>38</v>
      </c>
      <c r="C15" s="21" t="s">
        <v>141</v>
      </c>
      <c r="D15" s="11" t="s">
        <v>232</v>
      </c>
      <c r="E15" s="24" t="e" vm="3">
        <v>#VALUE!</v>
      </c>
      <c r="F15" s="24" t="str">
        <f ca="1">VLOOKUP(RANDBETWEEN(1,5),EstadoVia!A:C,3,0)</f>
        <v>Malo</v>
      </c>
      <c r="G15" s="9">
        <v>5.2930000000000001</v>
      </c>
      <c r="H15" s="9">
        <v>-72.043000000000006</v>
      </c>
      <c r="I15" s="9" t="str">
        <f ca="1">VLOOKUP(RANDBETWEEN(1,6),TipoVia!A:C,3,0)</f>
        <v>Arterial</v>
      </c>
      <c r="J15" s="9" t="str">
        <f ca="1">VLOOKUP(RANDBETWEEN(1,6),TipoIntersección!A:C,3,0)</f>
        <v>Intercambiador vial</v>
      </c>
      <c r="K15" s="9" t="s">
        <v>132</v>
      </c>
      <c r="L15" s="9">
        <f ca="1">VLOOKUP(RANDBETWEEN(1,6),Limitevelocidad!A:C,3,0)</f>
        <v>50</v>
      </c>
      <c r="M15" s="10">
        <f t="shared" ca="1" si="0"/>
        <v>33560</v>
      </c>
    </row>
    <row r="16" spans="1:13" ht="15.75" thickBot="1" x14ac:dyDescent="0.3">
      <c r="A16" s="12">
        <v>15</v>
      </c>
      <c r="B16" s="17" t="s">
        <v>40</v>
      </c>
      <c r="C16" s="20" t="s">
        <v>142</v>
      </c>
      <c r="D16" s="15" t="s">
        <v>119</v>
      </c>
      <c r="E16" s="23" t="e" vm="8">
        <v>#VALUE!</v>
      </c>
      <c r="F16" s="23" t="str">
        <f ca="1">VLOOKUP(RANDBETWEEN(1,5),EstadoVia!A:C,3,0)</f>
        <v>Regular</v>
      </c>
      <c r="G16" s="13">
        <v>5.1080000000000014</v>
      </c>
      <c r="H16" s="13">
        <v>-72.989999999999995</v>
      </c>
      <c r="I16" s="13" t="str">
        <f ca="1">VLOOKUP(RANDBETWEEN(1,6),TipoVia!A:C,3,0)</f>
        <v>Carretera nacional</v>
      </c>
      <c r="J16" s="13" t="str">
        <f ca="1">VLOOKUP(RANDBETWEEN(1,6),TipoIntersección!A:C,3,0)</f>
        <v>Cruce en T</v>
      </c>
      <c r="K16" s="13" t="s">
        <v>132</v>
      </c>
      <c r="L16" s="13">
        <f ca="1">VLOOKUP(RANDBETWEEN(1,6),Limitevelocidad!A:C,3,0)</f>
        <v>100</v>
      </c>
      <c r="M16" s="14">
        <f t="shared" ca="1" si="0"/>
        <v>28242</v>
      </c>
    </row>
    <row r="17" spans="1:13" ht="15.75" thickBot="1" x14ac:dyDescent="0.3">
      <c r="A17" s="8">
        <v>16</v>
      </c>
      <c r="B17" s="18" t="s">
        <v>42</v>
      </c>
      <c r="C17" s="21" t="s">
        <v>143</v>
      </c>
      <c r="D17" s="11" t="s">
        <v>119</v>
      </c>
      <c r="E17" s="24" t="e" vm="8">
        <v>#VALUE!</v>
      </c>
      <c r="F17" s="24" t="str">
        <f ca="1">VLOOKUP(RANDBETWEEN(1,5),EstadoVia!A:C,3,0)</f>
        <v>Excelente</v>
      </c>
      <c r="G17" s="9">
        <v>4.766</v>
      </c>
      <c r="H17" s="9">
        <v>-72.5</v>
      </c>
      <c r="I17" s="9" t="str">
        <f ca="1">VLOOKUP(RANDBETWEEN(1,6),TipoVia!A:C,3,0)</f>
        <v>Colectora</v>
      </c>
      <c r="J17" s="9" t="str">
        <f ca="1">VLOOKUP(RANDBETWEEN(1,6),TipoIntersección!A:C,3,0)</f>
        <v>Paso a desnivel</v>
      </c>
      <c r="K17" s="9" t="s">
        <v>121</v>
      </c>
      <c r="L17" s="9">
        <f ca="1">VLOOKUP(RANDBETWEEN(1,6),Limitevelocidad!A:C,3,0)</f>
        <v>40</v>
      </c>
      <c r="M17" s="10">
        <f t="shared" ca="1" si="0"/>
        <v>13704</v>
      </c>
    </row>
    <row r="18" spans="1:13" ht="15.75" thickBot="1" x14ac:dyDescent="0.3">
      <c r="A18" s="12">
        <v>17</v>
      </c>
      <c r="B18" s="17" t="s">
        <v>44</v>
      </c>
      <c r="C18" s="20" t="s">
        <v>144</v>
      </c>
      <c r="D18" s="15" t="s">
        <v>234</v>
      </c>
      <c r="E18" s="23" t="e" vm="9">
        <v>#VALUE!</v>
      </c>
      <c r="F18" s="23" t="str">
        <f ca="1">VLOOKUP(RANDBETWEEN(1,5),EstadoVia!A:C,3,0)</f>
        <v>Malo</v>
      </c>
      <c r="G18" s="13">
        <v>5.42</v>
      </c>
      <c r="H18" s="13">
        <v>-72.444000000000003</v>
      </c>
      <c r="I18" s="13" t="str">
        <f ca="1">VLOOKUP(RANDBETWEEN(1,6),TipoVia!A:C,3,0)</f>
        <v>Autopista</v>
      </c>
      <c r="J18" s="13" t="str">
        <f ca="1">VLOOKUP(RANDBETWEEN(1,6),TipoIntersección!A:C,3,0)</f>
        <v>Intercambiador vial</v>
      </c>
      <c r="K18" s="13" t="s">
        <v>132</v>
      </c>
      <c r="L18" s="13">
        <f ca="1">VLOOKUP(RANDBETWEEN(1,6),Limitevelocidad!A:C,3,0)</f>
        <v>60</v>
      </c>
      <c r="M18" s="14">
        <f t="shared" ca="1" si="0"/>
        <v>35598</v>
      </c>
    </row>
    <row r="19" spans="1:13" ht="15.75" thickBot="1" x14ac:dyDescent="0.3">
      <c r="A19" s="8">
        <v>18</v>
      </c>
      <c r="B19" s="18" t="s">
        <v>46</v>
      </c>
      <c r="C19" s="21" t="s">
        <v>145</v>
      </c>
      <c r="D19" s="11" t="s">
        <v>234</v>
      </c>
      <c r="E19" s="24" t="e" vm="9">
        <v>#VALUE!</v>
      </c>
      <c r="F19" s="24" t="str">
        <f ca="1">VLOOKUP(RANDBETWEEN(1,5),EstadoVia!A:C,3,0)</f>
        <v>Malo</v>
      </c>
      <c r="G19" s="9">
        <v>5.6820000000000004</v>
      </c>
      <c r="H19" s="9">
        <v>-72.245000000000005</v>
      </c>
      <c r="I19" s="9" t="str">
        <f ca="1">VLOOKUP(RANDBETWEEN(1,6),TipoVia!A:C,3,0)</f>
        <v>Local</v>
      </c>
      <c r="J19" s="9" t="str">
        <f ca="1">VLOOKUP(RANDBETWEEN(1,6),TipoIntersección!A:C,3,0)</f>
        <v>Glorieta</v>
      </c>
      <c r="K19" s="9" t="s">
        <v>121</v>
      </c>
      <c r="L19" s="9">
        <f ca="1">VLOOKUP(RANDBETWEEN(1,6),Limitevelocidad!A:C,3,0)</f>
        <v>60</v>
      </c>
      <c r="M19" s="10">
        <f t="shared" ca="1" si="0"/>
        <v>24205</v>
      </c>
    </row>
    <row r="20" spans="1:13" ht="15.75" thickBot="1" x14ac:dyDescent="0.3">
      <c r="A20" s="12">
        <v>19</v>
      </c>
      <c r="B20" s="17" t="s">
        <v>48</v>
      </c>
      <c r="C20" s="20" t="s">
        <v>146</v>
      </c>
      <c r="D20" s="15" t="s">
        <v>231</v>
      </c>
      <c r="E20" s="23" t="e" vm="10">
        <v>#VALUE!</v>
      </c>
      <c r="F20" s="23" t="str">
        <f ca="1">VLOOKUP(RANDBETWEEN(1,5),EstadoVia!A:C,3,0)</f>
        <v>Excelente</v>
      </c>
      <c r="G20" s="13">
        <v>6.59</v>
      </c>
      <c r="H20" s="13">
        <v>-73.882999999999996</v>
      </c>
      <c r="I20" s="13" t="str">
        <f ca="1">VLOOKUP(RANDBETWEEN(1,6),TipoVia!A:C,3,0)</f>
        <v>Colectora</v>
      </c>
      <c r="J20" s="13" t="str">
        <f ca="1">VLOOKUP(RANDBETWEEN(1,6),TipoIntersección!A:C,3,0)</f>
        <v>Cruce en T</v>
      </c>
      <c r="K20" s="13" t="s">
        <v>132</v>
      </c>
      <c r="L20" s="13">
        <f ca="1">VLOOKUP(RANDBETWEEN(1,6),Limitevelocidad!A:C,3,0)</f>
        <v>80</v>
      </c>
      <c r="M20" s="14">
        <f t="shared" ca="1" si="0"/>
        <v>34536</v>
      </c>
    </row>
    <row r="21" spans="1:13" ht="15.75" thickBot="1" x14ac:dyDescent="0.3">
      <c r="A21" s="8">
        <v>20</v>
      </c>
      <c r="B21" s="18" t="s">
        <v>50</v>
      </c>
      <c r="C21" s="21" t="s">
        <v>147</v>
      </c>
      <c r="D21" s="11" t="s">
        <v>129</v>
      </c>
      <c r="E21" s="24" t="e" vm="6">
        <v>#VALUE!</v>
      </c>
      <c r="F21" s="24" t="str">
        <f ca="1">VLOOKUP(RANDBETWEEN(1,5),EstadoVia!A:C,3,0)</f>
        <v>Bueno</v>
      </c>
      <c r="G21" s="9">
        <v>6.35</v>
      </c>
      <c r="H21" s="9">
        <v>-72.745999999999995</v>
      </c>
      <c r="I21" s="9" t="str">
        <f ca="1">VLOOKUP(RANDBETWEEN(1,6),TipoVia!A:C,3,0)</f>
        <v>Local</v>
      </c>
      <c r="J21" s="9" t="str">
        <f ca="1">VLOOKUP(RANDBETWEEN(1,6),TipoIntersección!A:C,3,0)</f>
        <v>Retorno</v>
      </c>
      <c r="K21" s="9" t="s">
        <v>121</v>
      </c>
      <c r="L21" s="9">
        <f ca="1">VLOOKUP(RANDBETWEEN(1,6),Limitevelocidad!A:C,3,0)</f>
        <v>100</v>
      </c>
      <c r="M21" s="10">
        <f t="shared" ca="1" si="0"/>
        <v>36334</v>
      </c>
    </row>
    <row r="22" spans="1:13" ht="15.75" thickBot="1" x14ac:dyDescent="0.3">
      <c r="A22" s="12">
        <v>21</v>
      </c>
      <c r="B22" s="17" t="s">
        <v>52</v>
      </c>
      <c r="C22" s="20" t="s">
        <v>148</v>
      </c>
      <c r="D22" s="15" t="s">
        <v>230</v>
      </c>
      <c r="E22" s="23" t="e" vm="1">
        <v>#VALUE!</v>
      </c>
      <c r="F22" s="23" t="str">
        <f ca="1">VLOOKUP(RANDBETWEEN(1,5),EstadoVia!A:C,3,0)</f>
        <v>Malo</v>
      </c>
      <c r="G22" s="13">
        <v>6.5609999999999999</v>
      </c>
      <c r="H22" s="13">
        <v>-72.272000000000006</v>
      </c>
      <c r="I22" s="13" t="str">
        <f ca="1">VLOOKUP(RANDBETWEEN(1,6),TipoVia!A:C,3,0)</f>
        <v>Carretera nacional</v>
      </c>
      <c r="J22" s="13" t="str">
        <f ca="1">VLOOKUP(RANDBETWEEN(1,6),TipoIntersección!A:C,3,0)</f>
        <v>Glorieta</v>
      </c>
      <c r="K22" s="13" t="s">
        <v>121</v>
      </c>
      <c r="L22" s="13">
        <f ca="1">VLOOKUP(RANDBETWEEN(1,6),Limitevelocidad!A:C,3,0)</f>
        <v>60</v>
      </c>
      <c r="M22" s="14">
        <f t="shared" ca="1" si="0"/>
        <v>7991</v>
      </c>
    </row>
    <row r="23" spans="1:13" ht="15.75" thickBot="1" x14ac:dyDescent="0.3">
      <c r="A23" s="8">
        <v>22</v>
      </c>
      <c r="B23" s="18" t="s">
        <v>54</v>
      </c>
      <c r="C23" s="21" t="s">
        <v>149</v>
      </c>
      <c r="D23" s="11" t="s">
        <v>232</v>
      </c>
      <c r="E23" s="24" t="e" vm="3">
        <v>#VALUE!</v>
      </c>
      <c r="F23" s="24" t="str">
        <f ca="1">VLOOKUP(RANDBETWEEN(1,5),EstadoVia!A:C,3,0)</f>
        <v>Bueno</v>
      </c>
      <c r="G23" s="9">
        <v>4.8940000000000001</v>
      </c>
      <c r="H23" s="9">
        <v>-72.891000000000005</v>
      </c>
      <c r="I23" s="9" t="str">
        <f ca="1">VLOOKUP(RANDBETWEEN(1,6),TipoVia!A:C,3,0)</f>
        <v>Carretera nacional</v>
      </c>
      <c r="J23" s="9" t="str">
        <f ca="1">VLOOKUP(RANDBETWEEN(1,6),TipoIntersección!A:C,3,0)</f>
        <v>Paso a desnivel</v>
      </c>
      <c r="K23" s="9" t="s">
        <v>121</v>
      </c>
      <c r="L23" s="9">
        <f ca="1">VLOOKUP(RANDBETWEEN(1,6),Limitevelocidad!A:C,3,0)</f>
        <v>50</v>
      </c>
      <c r="M23" s="10">
        <f t="shared" ca="1" si="0"/>
        <v>30059</v>
      </c>
    </row>
    <row r="24" spans="1:13" ht="15.75" thickBot="1" x14ac:dyDescent="0.3">
      <c r="A24" s="12">
        <v>23</v>
      </c>
      <c r="B24" s="17" t="s">
        <v>56</v>
      </c>
      <c r="C24" s="20" t="s">
        <v>150</v>
      </c>
      <c r="D24" s="15" t="s">
        <v>126</v>
      </c>
      <c r="E24" s="23" t="e" vm="4">
        <v>#VALUE!</v>
      </c>
      <c r="F24" s="23" t="str">
        <f ca="1">VLOOKUP(RANDBETWEEN(1,5),EstadoVia!A:C,3,0)</f>
        <v>En mantenimiento</v>
      </c>
      <c r="G24" s="13">
        <v>5.633</v>
      </c>
      <c r="H24" s="13">
        <v>-72.248999999999995</v>
      </c>
      <c r="I24" s="13" t="str">
        <f ca="1">VLOOKUP(RANDBETWEEN(1,6),TipoVia!A:C,3,0)</f>
        <v>Autopista</v>
      </c>
      <c r="J24" s="13" t="str">
        <f ca="1">VLOOKUP(RANDBETWEEN(1,6),TipoIntersección!A:C,3,0)</f>
        <v>Glorieta</v>
      </c>
      <c r="K24" s="13" t="s">
        <v>132</v>
      </c>
      <c r="L24" s="13">
        <f ca="1">VLOOKUP(RANDBETWEEN(1,6),Limitevelocidad!A:C,3,0)</f>
        <v>50</v>
      </c>
      <c r="M24" s="14">
        <f t="shared" ca="1" si="0"/>
        <v>42918</v>
      </c>
    </row>
    <row r="25" spans="1:13" ht="15.75" thickBot="1" x14ac:dyDescent="0.3">
      <c r="A25" s="8">
        <v>24</v>
      </c>
      <c r="B25" s="18" t="s">
        <v>58</v>
      </c>
      <c r="C25" s="21" t="s">
        <v>151</v>
      </c>
      <c r="D25" s="11" t="s">
        <v>232</v>
      </c>
      <c r="E25" s="24" t="e" vm="3">
        <v>#VALUE!</v>
      </c>
      <c r="F25" s="24" t="str">
        <f ca="1">VLOOKUP(RANDBETWEEN(1,5),EstadoVia!A:C,3,0)</f>
        <v>Excelente</v>
      </c>
      <c r="G25" s="9">
        <v>6.5339999999999998</v>
      </c>
      <c r="H25" s="9">
        <v>-71.409000000000006</v>
      </c>
      <c r="I25" s="9" t="str">
        <f ca="1">VLOOKUP(RANDBETWEEN(1,6),TipoVia!A:C,3,0)</f>
        <v>Autopista</v>
      </c>
      <c r="J25" s="9" t="str">
        <f ca="1">VLOOKUP(RANDBETWEEN(1,6),TipoIntersección!A:C,3,0)</f>
        <v>Cruce en T</v>
      </c>
      <c r="K25" s="9" t="s">
        <v>121</v>
      </c>
      <c r="L25" s="9">
        <f ca="1">VLOOKUP(RANDBETWEEN(1,6),Limitevelocidad!A:C,3,0)</f>
        <v>60</v>
      </c>
      <c r="M25" s="10">
        <f t="shared" ca="1" si="0"/>
        <v>7912</v>
      </c>
    </row>
    <row r="26" spans="1:13" ht="15.75" thickBot="1" x14ac:dyDescent="0.3">
      <c r="A26" s="12">
        <v>25</v>
      </c>
      <c r="B26" s="17" t="s">
        <v>60</v>
      </c>
      <c r="C26" s="20" t="s">
        <v>152</v>
      </c>
      <c r="D26" s="15" t="s">
        <v>119</v>
      </c>
      <c r="E26" s="23" t="e" vm="8">
        <v>#VALUE!</v>
      </c>
      <c r="F26" s="23" t="str">
        <f ca="1">VLOOKUP(RANDBETWEEN(1,5),EstadoVia!A:C,3,0)</f>
        <v>En mantenimiento</v>
      </c>
      <c r="G26" s="13">
        <v>5.9130000000000003</v>
      </c>
      <c r="H26" s="13">
        <v>-71.215000000000003</v>
      </c>
      <c r="I26" s="13" t="str">
        <f ca="1">VLOOKUP(RANDBETWEEN(1,6),TipoVia!A:C,3,0)</f>
        <v>Arterial</v>
      </c>
      <c r="J26" s="13" t="str">
        <f ca="1">VLOOKUP(RANDBETWEEN(1,6),TipoIntersección!A:C,3,0)</f>
        <v>Cruce en X</v>
      </c>
      <c r="K26" s="13" t="s">
        <v>121</v>
      </c>
      <c r="L26" s="13">
        <f ca="1">VLOOKUP(RANDBETWEEN(1,6),Limitevelocidad!A:C,3,0)</f>
        <v>50</v>
      </c>
      <c r="M26" s="14">
        <f t="shared" ca="1" si="0"/>
        <v>44610</v>
      </c>
    </row>
    <row r="27" spans="1:13" ht="15.75" thickBot="1" x14ac:dyDescent="0.3">
      <c r="A27" s="8">
        <v>26</v>
      </c>
      <c r="B27" s="18" t="s">
        <v>62</v>
      </c>
      <c r="C27" s="21" t="s">
        <v>153</v>
      </c>
      <c r="D27" s="11" t="s">
        <v>235</v>
      </c>
      <c r="E27" s="24" t="e" vm="11">
        <v>#VALUE!</v>
      </c>
      <c r="F27" s="24" t="str">
        <f ca="1">VLOOKUP(RANDBETWEEN(1,5),EstadoVia!A:C,3,0)</f>
        <v>En mantenimiento</v>
      </c>
      <c r="G27" s="9">
        <v>4.4870000000000001</v>
      </c>
      <c r="H27" s="9">
        <v>-72.454999999999998</v>
      </c>
      <c r="I27" s="9" t="str">
        <f ca="1">VLOOKUP(RANDBETWEEN(1,6),TipoVia!A:C,3,0)</f>
        <v>Carretera nacional</v>
      </c>
      <c r="J27" s="9" t="str">
        <f ca="1">VLOOKUP(RANDBETWEEN(1,6),TipoIntersección!A:C,3,0)</f>
        <v>Cruce en T</v>
      </c>
      <c r="K27" s="9" t="s">
        <v>121</v>
      </c>
      <c r="L27" s="9">
        <f ca="1">VLOOKUP(RANDBETWEEN(1,6),Limitevelocidad!A:C,3,0)</f>
        <v>40</v>
      </c>
      <c r="M27" s="10">
        <f t="shared" ca="1" si="0"/>
        <v>20043</v>
      </c>
    </row>
    <row r="28" spans="1:13" ht="15.75" thickBot="1" x14ac:dyDescent="0.3">
      <c r="A28" s="12">
        <v>27</v>
      </c>
      <c r="B28" s="17" t="s">
        <v>64</v>
      </c>
      <c r="C28" s="20" t="s">
        <v>154</v>
      </c>
      <c r="D28" s="15" t="s">
        <v>123</v>
      </c>
      <c r="E28" s="23" t="e" vm="7">
        <v>#VALUE!</v>
      </c>
      <c r="F28" s="23" t="str">
        <f ca="1">VLOOKUP(RANDBETWEEN(1,5),EstadoVia!A:C,3,0)</f>
        <v>Regular</v>
      </c>
      <c r="G28" s="13">
        <v>6.8369999999999997</v>
      </c>
      <c r="H28" s="13">
        <v>-73.986000000000004</v>
      </c>
      <c r="I28" s="13" t="str">
        <f ca="1">VLOOKUP(RANDBETWEEN(1,6),TipoVia!A:C,3,0)</f>
        <v>Avenida</v>
      </c>
      <c r="J28" s="13" t="str">
        <f ca="1">VLOOKUP(RANDBETWEEN(1,6),TipoIntersección!A:C,3,0)</f>
        <v>Cruce en X</v>
      </c>
      <c r="K28" s="13" t="s">
        <v>121</v>
      </c>
      <c r="L28" s="13">
        <f ca="1">VLOOKUP(RANDBETWEEN(1,6),Limitevelocidad!A:C,3,0)</f>
        <v>40</v>
      </c>
      <c r="M28" s="14">
        <f t="shared" ca="1" si="0"/>
        <v>43948</v>
      </c>
    </row>
    <row r="29" spans="1:13" ht="15.75" thickBot="1" x14ac:dyDescent="0.3">
      <c r="A29" s="8">
        <v>28</v>
      </c>
      <c r="B29" s="18" t="s">
        <v>66</v>
      </c>
      <c r="C29" s="21" t="s">
        <v>155</v>
      </c>
      <c r="D29" s="11" t="s">
        <v>131</v>
      </c>
      <c r="E29" s="24" t="e" vm="5">
        <v>#VALUE!</v>
      </c>
      <c r="F29" s="24" t="str">
        <f ca="1">VLOOKUP(RANDBETWEEN(1,5),EstadoVia!A:C,3,0)</f>
        <v>Malo</v>
      </c>
      <c r="G29" s="9">
        <v>5.9510000000000014</v>
      </c>
      <c r="H29" s="9">
        <v>-72.427000000000007</v>
      </c>
      <c r="I29" s="9" t="str">
        <f ca="1">VLOOKUP(RANDBETWEEN(1,6),TipoVia!A:C,3,0)</f>
        <v>Arterial</v>
      </c>
      <c r="J29" s="9" t="str">
        <f ca="1">VLOOKUP(RANDBETWEEN(1,6),TipoIntersección!A:C,3,0)</f>
        <v>Cruce en X</v>
      </c>
      <c r="K29" s="9" t="s">
        <v>132</v>
      </c>
      <c r="L29" s="9">
        <f ca="1">VLOOKUP(RANDBETWEEN(1,6),Limitevelocidad!A:C,3,0)</f>
        <v>100</v>
      </c>
      <c r="M29" s="10">
        <f t="shared" ca="1" si="0"/>
        <v>5455</v>
      </c>
    </row>
    <row r="30" spans="1:13" ht="15.75" thickBot="1" x14ac:dyDescent="0.3">
      <c r="A30" s="12">
        <v>29</v>
      </c>
      <c r="B30" s="17" t="s">
        <v>68</v>
      </c>
      <c r="C30" s="20" t="s">
        <v>156</v>
      </c>
      <c r="D30" s="15" t="s">
        <v>131</v>
      </c>
      <c r="E30" s="23" t="e" vm="5">
        <v>#VALUE!</v>
      </c>
      <c r="F30" s="23" t="str">
        <f ca="1">VLOOKUP(RANDBETWEEN(1,5),EstadoVia!A:C,3,0)</f>
        <v>En mantenimiento</v>
      </c>
      <c r="G30" s="13">
        <v>6.6230000000000002</v>
      </c>
      <c r="H30" s="13">
        <v>-71.177999999999997</v>
      </c>
      <c r="I30" s="13" t="str">
        <f ca="1">VLOOKUP(RANDBETWEEN(1,6),TipoVia!A:C,3,0)</f>
        <v>Carretera nacional</v>
      </c>
      <c r="J30" s="13" t="str">
        <f ca="1">VLOOKUP(RANDBETWEEN(1,6),TipoIntersección!A:C,3,0)</f>
        <v>Retorno</v>
      </c>
      <c r="K30" s="13" t="s">
        <v>121</v>
      </c>
      <c r="L30" s="13">
        <f ca="1">VLOOKUP(RANDBETWEEN(1,6),Limitevelocidad!A:C,3,0)</f>
        <v>30</v>
      </c>
      <c r="M30" s="14">
        <f t="shared" ca="1" si="0"/>
        <v>37681</v>
      </c>
    </row>
    <row r="31" spans="1:13" ht="15.75" thickBot="1" x14ac:dyDescent="0.3">
      <c r="A31" s="8">
        <v>30</v>
      </c>
      <c r="B31" s="18" t="s">
        <v>70</v>
      </c>
      <c r="C31" s="21" t="s">
        <v>157</v>
      </c>
      <c r="D31" s="11" t="s">
        <v>234</v>
      </c>
      <c r="E31" s="24" t="e" vm="9">
        <v>#VALUE!</v>
      </c>
      <c r="F31" s="24" t="str">
        <f ca="1">VLOOKUP(RANDBETWEEN(1,5),EstadoVia!A:C,3,0)</f>
        <v>Malo</v>
      </c>
      <c r="G31" s="9">
        <v>4.6879999999999997</v>
      </c>
      <c r="H31" s="9">
        <v>-71.950999999999993</v>
      </c>
      <c r="I31" s="9" t="str">
        <f ca="1">VLOOKUP(RANDBETWEEN(1,6),TipoVia!A:C,3,0)</f>
        <v>Avenida</v>
      </c>
      <c r="J31" s="9" t="str">
        <f ca="1">VLOOKUP(RANDBETWEEN(1,6),TipoIntersección!A:C,3,0)</f>
        <v>Cruce en T</v>
      </c>
      <c r="K31" s="9" t="s">
        <v>132</v>
      </c>
      <c r="L31" s="9">
        <f ca="1">VLOOKUP(RANDBETWEEN(1,6),Limitevelocidad!A:C,3,0)</f>
        <v>30</v>
      </c>
      <c r="M31" s="10">
        <f t="shared" ca="1" si="0"/>
        <v>21265</v>
      </c>
    </row>
    <row r="32" spans="1:13" ht="15.75" thickBot="1" x14ac:dyDescent="0.3">
      <c r="A32" s="12">
        <v>31</v>
      </c>
      <c r="B32" s="17" t="s">
        <v>72</v>
      </c>
      <c r="C32" s="20" t="s">
        <v>158</v>
      </c>
      <c r="D32" s="15" t="s">
        <v>234</v>
      </c>
      <c r="E32" s="23" t="e" vm="9">
        <v>#VALUE!</v>
      </c>
      <c r="F32" s="23" t="str">
        <f ca="1">VLOOKUP(RANDBETWEEN(1,5),EstadoVia!A:C,3,0)</f>
        <v>Regular</v>
      </c>
      <c r="G32" s="13">
        <v>6.5150000000000006</v>
      </c>
      <c r="H32" s="13">
        <v>-73.244</v>
      </c>
      <c r="I32" s="13" t="str">
        <f ca="1">VLOOKUP(RANDBETWEEN(1,6),TipoVia!A:C,3,0)</f>
        <v>Avenida</v>
      </c>
      <c r="J32" s="13" t="str">
        <f ca="1">VLOOKUP(RANDBETWEEN(1,6),TipoIntersección!A:C,3,0)</f>
        <v>Cruce en X</v>
      </c>
      <c r="K32" s="13" t="s">
        <v>132</v>
      </c>
      <c r="L32" s="13">
        <f ca="1">VLOOKUP(RANDBETWEEN(1,6),Limitevelocidad!A:C,3,0)</f>
        <v>100</v>
      </c>
      <c r="M32" s="14">
        <f t="shared" ca="1" si="0"/>
        <v>45130</v>
      </c>
    </row>
    <row r="33" spans="1:13" ht="15.75" thickBot="1" x14ac:dyDescent="0.3">
      <c r="A33" s="8">
        <v>32</v>
      </c>
      <c r="B33" s="18" t="s">
        <v>74</v>
      </c>
      <c r="C33" s="21" t="s">
        <v>159</v>
      </c>
      <c r="D33" s="11" t="s">
        <v>131</v>
      </c>
      <c r="E33" s="24" t="e" vm="5">
        <v>#VALUE!</v>
      </c>
      <c r="F33" s="24" t="str">
        <f ca="1">VLOOKUP(RANDBETWEEN(1,5),EstadoVia!A:C,3,0)</f>
        <v>Malo</v>
      </c>
      <c r="G33" s="9">
        <v>4.6829999999999998</v>
      </c>
      <c r="H33" s="9">
        <v>-73.516000000000005</v>
      </c>
      <c r="I33" s="9" t="str">
        <f ca="1">VLOOKUP(RANDBETWEEN(1,6),TipoVia!A:C,3,0)</f>
        <v>Autopista</v>
      </c>
      <c r="J33" s="9" t="str">
        <f ca="1">VLOOKUP(RANDBETWEEN(1,6),TipoIntersección!A:C,3,0)</f>
        <v>Intercambiador vial</v>
      </c>
      <c r="K33" s="9" t="s">
        <v>121</v>
      </c>
      <c r="L33" s="9">
        <f ca="1">VLOOKUP(RANDBETWEEN(1,6),Limitevelocidad!A:C,3,0)</f>
        <v>100</v>
      </c>
      <c r="M33" s="10">
        <f t="shared" ca="1" si="0"/>
        <v>13145</v>
      </c>
    </row>
    <row r="34" spans="1:13" ht="15.75" thickBot="1" x14ac:dyDescent="0.3">
      <c r="A34" s="12">
        <v>33</v>
      </c>
      <c r="B34" s="17" t="s">
        <v>76</v>
      </c>
      <c r="C34" s="20" t="s">
        <v>160</v>
      </c>
      <c r="D34" s="15" t="s">
        <v>129</v>
      </c>
      <c r="E34" s="23" t="e" vm="6">
        <v>#VALUE!</v>
      </c>
      <c r="F34" s="23" t="str">
        <f ca="1">VLOOKUP(RANDBETWEEN(1,5),EstadoVia!A:C,3,0)</f>
        <v>Excelente</v>
      </c>
      <c r="G34" s="13">
        <v>5.0960000000000001</v>
      </c>
      <c r="H34" s="13">
        <v>-72.488</v>
      </c>
      <c r="I34" s="13" t="str">
        <f ca="1">VLOOKUP(RANDBETWEEN(1,6),TipoVia!A:C,3,0)</f>
        <v>Carretera nacional</v>
      </c>
      <c r="J34" s="13" t="str">
        <f ca="1">VLOOKUP(RANDBETWEEN(1,6),TipoIntersección!A:C,3,0)</f>
        <v>Retorno</v>
      </c>
      <c r="K34" s="13" t="s">
        <v>132</v>
      </c>
      <c r="L34" s="13">
        <f ca="1">VLOOKUP(RANDBETWEEN(1,6),Limitevelocidad!A:C,3,0)</f>
        <v>40</v>
      </c>
      <c r="M34" s="14">
        <f t="shared" ca="1" si="0"/>
        <v>11504</v>
      </c>
    </row>
    <row r="35" spans="1:13" ht="15.75" thickBot="1" x14ac:dyDescent="0.3">
      <c r="A35" s="8">
        <v>34</v>
      </c>
      <c r="B35" s="18" t="s">
        <v>78</v>
      </c>
      <c r="C35" s="21" t="s">
        <v>161</v>
      </c>
      <c r="D35" s="11" t="s">
        <v>129</v>
      </c>
      <c r="E35" s="24" t="e" vm="6">
        <v>#VALUE!</v>
      </c>
      <c r="F35" s="24" t="str">
        <f ca="1">VLOOKUP(RANDBETWEEN(1,5),EstadoVia!A:C,3,0)</f>
        <v>Malo</v>
      </c>
      <c r="G35" s="9">
        <v>4.26</v>
      </c>
      <c r="H35" s="9">
        <v>-72.760999999999996</v>
      </c>
      <c r="I35" s="9" t="str">
        <f ca="1">VLOOKUP(RANDBETWEEN(1,6),TipoVia!A:C,3,0)</f>
        <v>Colectora</v>
      </c>
      <c r="J35" s="9" t="str">
        <f ca="1">VLOOKUP(RANDBETWEEN(1,6),TipoIntersección!A:C,3,0)</f>
        <v>Cruce en X</v>
      </c>
      <c r="K35" s="9" t="s">
        <v>121</v>
      </c>
      <c r="L35" s="9">
        <f ca="1">VLOOKUP(RANDBETWEEN(1,6),Limitevelocidad!A:C,3,0)</f>
        <v>30</v>
      </c>
      <c r="M35" s="10">
        <f t="shared" ca="1" si="0"/>
        <v>7497</v>
      </c>
    </row>
    <row r="36" spans="1:13" ht="15.75" thickBot="1" x14ac:dyDescent="0.3">
      <c r="A36" s="12">
        <v>35</v>
      </c>
      <c r="B36" s="17" t="s">
        <v>80</v>
      </c>
      <c r="C36" s="20" t="s">
        <v>162</v>
      </c>
      <c r="D36" s="15" t="s">
        <v>129</v>
      </c>
      <c r="E36" s="23" t="e" vm="6">
        <v>#VALUE!</v>
      </c>
      <c r="F36" s="23" t="str">
        <f ca="1">VLOOKUP(RANDBETWEEN(1,5),EstadoVia!A:C,3,0)</f>
        <v>Bueno</v>
      </c>
      <c r="G36" s="13">
        <v>5.758</v>
      </c>
      <c r="H36" s="13">
        <v>-72.698999999999998</v>
      </c>
      <c r="I36" s="13" t="str">
        <f ca="1">VLOOKUP(RANDBETWEEN(1,6),TipoVia!A:C,3,0)</f>
        <v>Autopista</v>
      </c>
      <c r="J36" s="13" t="str">
        <f ca="1">VLOOKUP(RANDBETWEEN(1,6),TipoIntersección!A:C,3,0)</f>
        <v>Intercambiador vial</v>
      </c>
      <c r="K36" s="13" t="s">
        <v>132</v>
      </c>
      <c r="L36" s="13">
        <f ca="1">VLOOKUP(RANDBETWEEN(1,6),Limitevelocidad!A:C,3,0)</f>
        <v>60</v>
      </c>
      <c r="M36" s="14">
        <f t="shared" ca="1" si="0"/>
        <v>46942</v>
      </c>
    </row>
    <row r="37" spans="1:13" ht="15.75" thickBot="1" x14ac:dyDescent="0.3">
      <c r="A37" s="8">
        <v>36</v>
      </c>
      <c r="B37" s="18" t="s">
        <v>82</v>
      </c>
      <c r="C37" s="21" t="s">
        <v>163</v>
      </c>
      <c r="D37" s="11" t="s">
        <v>233</v>
      </c>
      <c r="E37" s="24" t="e" vm="2">
        <v>#VALUE!</v>
      </c>
      <c r="F37" s="24" t="str">
        <f ca="1">VLOOKUP(RANDBETWEEN(1,5),EstadoVia!A:C,3,0)</f>
        <v>Bueno</v>
      </c>
      <c r="G37" s="9">
        <v>5.2</v>
      </c>
      <c r="H37" s="9">
        <v>-73.728999999999999</v>
      </c>
      <c r="I37" s="9" t="str">
        <f ca="1">VLOOKUP(RANDBETWEEN(1,6),TipoVia!A:C,3,0)</f>
        <v>Local</v>
      </c>
      <c r="J37" s="9" t="str">
        <f ca="1">VLOOKUP(RANDBETWEEN(1,6),TipoIntersección!A:C,3,0)</f>
        <v>Retorno</v>
      </c>
      <c r="K37" s="9" t="s">
        <v>132</v>
      </c>
      <c r="L37" s="9">
        <f ca="1">VLOOKUP(RANDBETWEEN(1,6),Limitevelocidad!A:C,3,0)</f>
        <v>60</v>
      </c>
      <c r="M37" s="10">
        <f t="shared" ca="1" si="0"/>
        <v>26672</v>
      </c>
    </row>
    <row r="38" spans="1:13" ht="15.75" thickBot="1" x14ac:dyDescent="0.3">
      <c r="A38" s="12">
        <v>37</v>
      </c>
      <c r="B38" s="17" t="s">
        <v>84</v>
      </c>
      <c r="C38" s="20" t="s">
        <v>164</v>
      </c>
      <c r="D38" s="15" t="s">
        <v>231</v>
      </c>
      <c r="E38" s="23" t="e" vm="10">
        <v>#VALUE!</v>
      </c>
      <c r="F38" s="23" t="str">
        <f ca="1">VLOOKUP(RANDBETWEEN(1,5),EstadoVia!A:C,3,0)</f>
        <v>Excelente</v>
      </c>
      <c r="G38" s="13">
        <v>5.18</v>
      </c>
      <c r="H38" s="13">
        <v>-71.453999999999994</v>
      </c>
      <c r="I38" s="13" t="str">
        <f ca="1">VLOOKUP(RANDBETWEEN(1,6),TipoVia!A:C,3,0)</f>
        <v>Local</v>
      </c>
      <c r="J38" s="13" t="str">
        <f ca="1">VLOOKUP(RANDBETWEEN(1,6),TipoIntersección!A:C,3,0)</f>
        <v>Cruce en X</v>
      </c>
      <c r="K38" s="13" t="s">
        <v>132</v>
      </c>
      <c r="L38" s="13">
        <f ca="1">VLOOKUP(RANDBETWEEN(1,6),Limitevelocidad!A:C,3,0)</f>
        <v>50</v>
      </c>
      <c r="M38" s="14">
        <f t="shared" ca="1" si="0"/>
        <v>40055</v>
      </c>
    </row>
    <row r="39" spans="1:13" ht="15.75" thickBot="1" x14ac:dyDescent="0.3">
      <c r="A39" s="8">
        <v>38</v>
      </c>
      <c r="B39" s="18" t="s">
        <v>86</v>
      </c>
      <c r="C39" s="21" t="s">
        <v>165</v>
      </c>
      <c r="D39" s="11" t="s">
        <v>235</v>
      </c>
      <c r="E39" s="24" t="e" vm="11">
        <v>#VALUE!</v>
      </c>
      <c r="F39" s="24" t="str">
        <f ca="1">VLOOKUP(RANDBETWEEN(1,5),EstadoVia!A:C,3,0)</f>
        <v>Excelente</v>
      </c>
      <c r="G39" s="9">
        <v>6.9589999999999996</v>
      </c>
      <c r="H39" s="9">
        <v>-71.513000000000005</v>
      </c>
      <c r="I39" s="9" t="str">
        <f ca="1">VLOOKUP(RANDBETWEEN(1,6),TipoVia!A:C,3,0)</f>
        <v>Arterial</v>
      </c>
      <c r="J39" s="9" t="str">
        <f ca="1">VLOOKUP(RANDBETWEEN(1,6),TipoIntersección!A:C,3,0)</f>
        <v>Retorno</v>
      </c>
      <c r="K39" s="9" t="s">
        <v>132</v>
      </c>
      <c r="L39" s="9">
        <f ca="1">VLOOKUP(RANDBETWEEN(1,6),Limitevelocidad!A:C,3,0)</f>
        <v>80</v>
      </c>
      <c r="M39" s="10">
        <f t="shared" ca="1" si="0"/>
        <v>49202</v>
      </c>
    </row>
    <row r="40" spans="1:13" ht="15.75" thickBot="1" x14ac:dyDescent="0.3">
      <c r="A40" s="12">
        <v>39</v>
      </c>
      <c r="B40" s="17" t="s">
        <v>88</v>
      </c>
      <c r="C40" s="20" t="s">
        <v>166</v>
      </c>
      <c r="D40" s="15" t="s">
        <v>230</v>
      </c>
      <c r="E40" s="23" t="e" vm="1">
        <v>#VALUE!</v>
      </c>
      <c r="F40" s="23" t="str">
        <f ca="1">VLOOKUP(RANDBETWEEN(1,5),EstadoVia!A:C,3,0)</f>
        <v>Bueno</v>
      </c>
      <c r="G40" s="13">
        <v>6.3599999999999994</v>
      </c>
      <c r="H40" s="13">
        <v>-71.391000000000005</v>
      </c>
      <c r="I40" s="13" t="str">
        <f ca="1">VLOOKUP(RANDBETWEEN(1,6),TipoVia!A:C,3,0)</f>
        <v>Colectora</v>
      </c>
      <c r="J40" s="13" t="str">
        <f ca="1">VLOOKUP(RANDBETWEEN(1,6),TipoIntersección!A:C,3,0)</f>
        <v>Cruce en T</v>
      </c>
      <c r="K40" s="13" t="s">
        <v>132</v>
      </c>
      <c r="L40" s="13">
        <f ca="1">VLOOKUP(RANDBETWEEN(1,6),Limitevelocidad!A:C,3,0)</f>
        <v>80</v>
      </c>
      <c r="M40" s="14">
        <f t="shared" ca="1" si="0"/>
        <v>39507</v>
      </c>
    </row>
    <row r="41" spans="1:13" ht="15.75" thickBot="1" x14ac:dyDescent="0.3">
      <c r="A41" s="8">
        <v>40</v>
      </c>
      <c r="B41" s="18" t="s">
        <v>90</v>
      </c>
      <c r="C41" s="21" t="s">
        <v>167</v>
      </c>
      <c r="D41" s="11" t="s">
        <v>231</v>
      </c>
      <c r="E41" s="24" t="e" vm="10">
        <v>#VALUE!</v>
      </c>
      <c r="F41" s="24" t="str">
        <f ca="1">VLOOKUP(RANDBETWEEN(1,5),EstadoVia!A:C,3,0)</f>
        <v>Bueno</v>
      </c>
      <c r="G41" s="9">
        <v>6.6920000000000002</v>
      </c>
      <c r="H41" s="9">
        <v>-71.635000000000005</v>
      </c>
      <c r="I41" s="9" t="str">
        <f ca="1">VLOOKUP(RANDBETWEEN(1,6),TipoVia!A:C,3,0)</f>
        <v>Arterial</v>
      </c>
      <c r="J41" s="9" t="str">
        <f ca="1">VLOOKUP(RANDBETWEEN(1,6),TipoIntersección!A:C,3,0)</f>
        <v>Intercambiador vial</v>
      </c>
      <c r="K41" s="9" t="s">
        <v>132</v>
      </c>
      <c r="L41" s="9">
        <f ca="1">VLOOKUP(RANDBETWEEN(1,6),Limitevelocidad!A:C,3,0)</f>
        <v>30</v>
      </c>
      <c r="M41" s="10">
        <f t="shared" ca="1" si="0"/>
        <v>38660</v>
      </c>
    </row>
    <row r="42" spans="1:13" ht="15.75" thickBot="1" x14ac:dyDescent="0.3">
      <c r="A42" s="12">
        <v>41</v>
      </c>
      <c r="B42" s="17" t="s">
        <v>92</v>
      </c>
      <c r="C42" s="20" t="s">
        <v>168</v>
      </c>
      <c r="D42" s="15" t="s">
        <v>231</v>
      </c>
      <c r="E42" s="23" t="e" vm="10">
        <v>#VALUE!</v>
      </c>
      <c r="F42" s="23" t="str">
        <f ca="1">VLOOKUP(RANDBETWEEN(1,5),EstadoVia!A:C,3,0)</f>
        <v>Malo</v>
      </c>
      <c r="G42" s="13">
        <v>5.33</v>
      </c>
      <c r="H42" s="13">
        <v>-72.003</v>
      </c>
      <c r="I42" s="13" t="str">
        <f ca="1">VLOOKUP(RANDBETWEEN(1,6),TipoVia!A:C,3,0)</f>
        <v>Carretera nacional</v>
      </c>
      <c r="J42" s="13" t="str">
        <f ca="1">VLOOKUP(RANDBETWEEN(1,6),TipoIntersección!A:C,3,0)</f>
        <v>Retorno</v>
      </c>
      <c r="K42" s="13" t="s">
        <v>132</v>
      </c>
      <c r="L42" s="13">
        <f ca="1">VLOOKUP(RANDBETWEEN(1,6),Limitevelocidad!A:C,3,0)</f>
        <v>30</v>
      </c>
      <c r="M42" s="14">
        <f t="shared" ca="1" si="0"/>
        <v>32999</v>
      </c>
    </row>
    <row r="43" spans="1:13" ht="15.75" thickBot="1" x14ac:dyDescent="0.3">
      <c r="A43" s="8">
        <v>42</v>
      </c>
      <c r="B43" s="18" t="s">
        <v>94</v>
      </c>
      <c r="C43" s="21" t="s">
        <v>169</v>
      </c>
      <c r="D43" s="11" t="s">
        <v>233</v>
      </c>
      <c r="E43" s="24" t="e" vm="2">
        <v>#VALUE!</v>
      </c>
      <c r="F43" s="24" t="str">
        <f ca="1">VLOOKUP(RANDBETWEEN(1,5),EstadoVia!A:C,3,0)</f>
        <v>En mantenimiento</v>
      </c>
      <c r="G43" s="9">
        <v>6.0150000000000006</v>
      </c>
      <c r="H43" s="9">
        <v>-71.484999999999999</v>
      </c>
      <c r="I43" s="9" t="str">
        <f ca="1">VLOOKUP(RANDBETWEEN(1,6),TipoVia!A:C,3,0)</f>
        <v>Colectora</v>
      </c>
      <c r="J43" s="9" t="str">
        <f ca="1">VLOOKUP(RANDBETWEEN(1,6),TipoIntersección!A:C,3,0)</f>
        <v>Paso a desnivel</v>
      </c>
      <c r="K43" s="9" t="s">
        <v>132</v>
      </c>
      <c r="L43" s="9">
        <f ca="1">VLOOKUP(RANDBETWEEN(1,6),Limitevelocidad!A:C,3,0)</f>
        <v>30</v>
      </c>
      <c r="M43" s="10">
        <f t="shared" ca="1" si="0"/>
        <v>48856</v>
      </c>
    </row>
    <row r="44" spans="1:13" ht="15.75" thickBot="1" x14ac:dyDescent="0.3">
      <c r="A44" s="12">
        <v>43</v>
      </c>
      <c r="B44" s="17" t="s">
        <v>96</v>
      </c>
      <c r="C44" s="20" t="s">
        <v>170</v>
      </c>
      <c r="D44" s="15" t="s">
        <v>131</v>
      </c>
      <c r="E44" s="23" t="e" vm="5">
        <v>#VALUE!</v>
      </c>
      <c r="F44" s="23" t="str">
        <f ca="1">VLOOKUP(RANDBETWEEN(1,5),EstadoVia!A:C,3,0)</f>
        <v>Bueno</v>
      </c>
      <c r="G44" s="13">
        <v>5.3580000000000014</v>
      </c>
      <c r="H44" s="13">
        <v>-72.558999999999997</v>
      </c>
      <c r="I44" s="13" t="str">
        <f ca="1">VLOOKUP(RANDBETWEEN(1,6),TipoVia!A:C,3,0)</f>
        <v>Local</v>
      </c>
      <c r="J44" s="13" t="str">
        <f ca="1">VLOOKUP(RANDBETWEEN(1,6),TipoIntersección!A:C,3,0)</f>
        <v>Glorieta</v>
      </c>
      <c r="K44" s="13" t="s">
        <v>132</v>
      </c>
      <c r="L44" s="13">
        <f ca="1">VLOOKUP(RANDBETWEEN(1,6),Limitevelocidad!A:C,3,0)</f>
        <v>100</v>
      </c>
      <c r="M44" s="14">
        <f t="shared" ca="1" si="0"/>
        <v>41502</v>
      </c>
    </row>
    <row r="45" spans="1:13" ht="15.75" thickBot="1" x14ac:dyDescent="0.3">
      <c r="A45" s="8">
        <v>44</v>
      </c>
      <c r="B45" s="18" t="s">
        <v>98</v>
      </c>
      <c r="C45" s="21" t="s">
        <v>171</v>
      </c>
      <c r="D45" s="11" t="s">
        <v>131</v>
      </c>
      <c r="E45" s="24" t="e" vm="5">
        <v>#VALUE!</v>
      </c>
      <c r="F45" s="24" t="str">
        <f ca="1">VLOOKUP(RANDBETWEEN(1,5),EstadoVia!A:C,3,0)</f>
        <v>Excelente</v>
      </c>
      <c r="G45" s="9">
        <v>4.6539999999999999</v>
      </c>
      <c r="H45" s="9">
        <v>-71.45</v>
      </c>
      <c r="I45" s="9" t="str">
        <f ca="1">VLOOKUP(RANDBETWEEN(1,6),TipoVia!A:C,3,0)</f>
        <v>Arterial</v>
      </c>
      <c r="J45" s="9" t="str">
        <f ca="1">VLOOKUP(RANDBETWEEN(1,6),TipoIntersección!A:C,3,0)</f>
        <v>Cruce en X</v>
      </c>
      <c r="K45" s="9" t="s">
        <v>121</v>
      </c>
      <c r="L45" s="9">
        <f ca="1">VLOOKUP(RANDBETWEEN(1,6),Limitevelocidad!A:C,3,0)</f>
        <v>80</v>
      </c>
      <c r="M45" s="10">
        <f t="shared" ca="1" si="0"/>
        <v>7037</v>
      </c>
    </row>
    <row r="46" spans="1:13" ht="15.75" thickBot="1" x14ac:dyDescent="0.3">
      <c r="A46" s="12">
        <v>45</v>
      </c>
      <c r="B46" s="17" t="s">
        <v>100</v>
      </c>
      <c r="C46" s="20" t="s">
        <v>172</v>
      </c>
      <c r="D46" s="15" t="s">
        <v>119</v>
      </c>
      <c r="E46" s="23" t="e" vm="8">
        <v>#VALUE!</v>
      </c>
      <c r="F46" s="23" t="str">
        <f ca="1">VLOOKUP(RANDBETWEEN(1,5),EstadoVia!A:C,3,0)</f>
        <v>Bueno</v>
      </c>
      <c r="G46" s="13">
        <v>6.415</v>
      </c>
      <c r="H46" s="13">
        <v>-71.385999999999996</v>
      </c>
      <c r="I46" s="13" t="str">
        <f ca="1">VLOOKUP(RANDBETWEEN(1,6),TipoVia!A:C,3,0)</f>
        <v>Arterial</v>
      </c>
      <c r="J46" s="13" t="str">
        <f ca="1">VLOOKUP(RANDBETWEEN(1,6),TipoIntersección!A:C,3,0)</f>
        <v>Cruce en X</v>
      </c>
      <c r="K46" s="13" t="s">
        <v>121</v>
      </c>
      <c r="L46" s="13">
        <f ca="1">VLOOKUP(RANDBETWEEN(1,6),Limitevelocidad!A:C,3,0)</f>
        <v>40</v>
      </c>
      <c r="M46" s="14">
        <f t="shared" ca="1" si="0"/>
        <v>7000</v>
      </c>
    </row>
    <row r="47" spans="1:13" ht="15.75" thickBot="1" x14ac:dyDescent="0.3">
      <c r="A47" s="8">
        <v>46</v>
      </c>
      <c r="B47" s="18" t="s">
        <v>102</v>
      </c>
      <c r="C47" s="21" t="s">
        <v>173</v>
      </c>
      <c r="D47" s="11" t="s">
        <v>131</v>
      </c>
      <c r="E47" s="24" t="e" vm="5">
        <v>#VALUE!</v>
      </c>
      <c r="F47" s="24" t="str">
        <f ca="1">VLOOKUP(RANDBETWEEN(1,5),EstadoVia!A:C,3,0)</f>
        <v>En mantenimiento</v>
      </c>
      <c r="G47" s="9">
        <v>4.8710000000000004</v>
      </c>
      <c r="H47" s="9">
        <v>-73.043999999999997</v>
      </c>
      <c r="I47" s="9" t="str">
        <f ca="1">VLOOKUP(RANDBETWEEN(1,6),TipoVia!A:C,3,0)</f>
        <v>Carretera nacional</v>
      </c>
      <c r="J47" s="9" t="str">
        <f ca="1">VLOOKUP(RANDBETWEEN(1,6),TipoIntersección!A:C,3,0)</f>
        <v>Glorieta</v>
      </c>
      <c r="K47" s="9" t="s">
        <v>121</v>
      </c>
      <c r="L47" s="9">
        <f ca="1">VLOOKUP(RANDBETWEEN(1,6),Limitevelocidad!A:C,3,0)</f>
        <v>50</v>
      </c>
      <c r="M47" s="10">
        <f t="shared" ca="1" si="0"/>
        <v>22636</v>
      </c>
    </row>
    <row r="48" spans="1:13" ht="15.75" thickBot="1" x14ac:dyDescent="0.3">
      <c r="A48" s="12">
        <v>47</v>
      </c>
      <c r="B48" s="17" t="s">
        <v>104</v>
      </c>
      <c r="C48" s="20" t="s">
        <v>174</v>
      </c>
      <c r="D48" s="15" t="s">
        <v>119</v>
      </c>
      <c r="E48" s="23" t="e" vm="8">
        <v>#VALUE!</v>
      </c>
      <c r="F48" s="23" t="str">
        <f ca="1">VLOOKUP(RANDBETWEEN(1,5),EstadoVia!A:C,3,0)</f>
        <v>Malo</v>
      </c>
      <c r="G48" s="13">
        <v>4.0039999999999996</v>
      </c>
      <c r="H48" s="13">
        <v>-72.682000000000002</v>
      </c>
      <c r="I48" s="13" t="str">
        <f ca="1">VLOOKUP(RANDBETWEEN(1,6),TipoVia!A:C,3,0)</f>
        <v>Local</v>
      </c>
      <c r="J48" s="13" t="str">
        <f ca="1">VLOOKUP(RANDBETWEEN(1,6),TipoIntersección!A:C,3,0)</f>
        <v>Cruce en T</v>
      </c>
      <c r="K48" s="13" t="s">
        <v>132</v>
      </c>
      <c r="L48" s="13">
        <f ca="1">VLOOKUP(RANDBETWEEN(1,6),Limitevelocidad!A:C,3,0)</f>
        <v>30</v>
      </c>
      <c r="M48" s="14">
        <f t="shared" ca="1" si="0"/>
        <v>39135</v>
      </c>
    </row>
    <row r="49" spans="1:13" ht="15.75" thickBot="1" x14ac:dyDescent="0.3">
      <c r="A49" s="8">
        <v>48</v>
      </c>
      <c r="B49" s="18" t="s">
        <v>106</v>
      </c>
      <c r="C49" s="21" t="s">
        <v>175</v>
      </c>
      <c r="D49" s="11" t="s">
        <v>131</v>
      </c>
      <c r="E49" s="24" t="e" vm="5">
        <v>#VALUE!</v>
      </c>
      <c r="F49" s="24" t="str">
        <f ca="1">VLOOKUP(RANDBETWEEN(1,5),EstadoVia!A:C,3,0)</f>
        <v>Malo</v>
      </c>
      <c r="G49" s="9">
        <v>6.7869999999999999</v>
      </c>
      <c r="H49" s="9">
        <v>-72.647999999999996</v>
      </c>
      <c r="I49" s="9" t="str">
        <f ca="1">VLOOKUP(RANDBETWEEN(1,6),TipoVia!A:C,3,0)</f>
        <v>Carretera nacional</v>
      </c>
      <c r="J49" s="9" t="str">
        <f ca="1">VLOOKUP(RANDBETWEEN(1,6),TipoIntersección!A:C,3,0)</f>
        <v>Retorno</v>
      </c>
      <c r="K49" s="9" t="s">
        <v>121</v>
      </c>
      <c r="L49" s="9">
        <f ca="1">VLOOKUP(RANDBETWEEN(1,6),Limitevelocidad!A:C,3,0)</f>
        <v>40</v>
      </c>
      <c r="M49" s="10">
        <f t="shared" ca="1" si="0"/>
        <v>12992</v>
      </c>
    </row>
    <row r="50" spans="1:13" ht="15.75" thickBot="1" x14ac:dyDescent="0.3">
      <c r="A50" s="12">
        <v>49</v>
      </c>
      <c r="B50" s="17" t="s">
        <v>108</v>
      </c>
      <c r="C50" s="20" t="s">
        <v>176</v>
      </c>
      <c r="D50" s="15" t="s">
        <v>126</v>
      </c>
      <c r="E50" s="23" t="e" vm="4">
        <v>#VALUE!</v>
      </c>
      <c r="F50" s="23" t="str">
        <f ca="1">VLOOKUP(RANDBETWEEN(1,5),EstadoVia!A:C,3,0)</f>
        <v>Malo</v>
      </c>
      <c r="G50" s="13">
        <v>6.0359999999999996</v>
      </c>
      <c r="H50" s="13">
        <v>-73.822999999999993</v>
      </c>
      <c r="I50" s="13" t="str">
        <f ca="1">VLOOKUP(RANDBETWEEN(1,6),TipoVia!A:C,3,0)</f>
        <v>Colectora</v>
      </c>
      <c r="J50" s="13" t="str">
        <f ca="1">VLOOKUP(RANDBETWEEN(1,6),TipoIntersección!A:C,3,0)</f>
        <v>Cruce en X</v>
      </c>
      <c r="K50" s="13" t="s">
        <v>132</v>
      </c>
      <c r="L50" s="13">
        <f ca="1">VLOOKUP(RANDBETWEEN(1,6),Limitevelocidad!A:C,3,0)</f>
        <v>40</v>
      </c>
      <c r="M50" s="14">
        <f t="shared" ca="1" si="0"/>
        <v>45308</v>
      </c>
    </row>
    <row r="51" spans="1:13" ht="15.75" thickBot="1" x14ac:dyDescent="0.3">
      <c r="A51" s="8">
        <v>50</v>
      </c>
      <c r="B51" s="18" t="s">
        <v>110</v>
      </c>
      <c r="C51" s="21" t="s">
        <v>177</v>
      </c>
      <c r="D51" s="11" t="s">
        <v>234</v>
      </c>
      <c r="E51" s="24" t="e" vm="9">
        <v>#VALUE!</v>
      </c>
      <c r="F51" s="24" t="str">
        <f ca="1">VLOOKUP(RANDBETWEEN(1,5),EstadoVia!A:C,3,0)</f>
        <v>Malo</v>
      </c>
      <c r="G51" s="9">
        <v>4.4809999999999999</v>
      </c>
      <c r="H51" s="9">
        <v>-73.638000000000005</v>
      </c>
      <c r="I51" s="9" t="str">
        <f ca="1">VLOOKUP(RANDBETWEEN(1,6),TipoVia!A:C,3,0)</f>
        <v>Colectora</v>
      </c>
      <c r="J51" s="9" t="str">
        <f ca="1">VLOOKUP(RANDBETWEEN(1,6),TipoIntersección!A:C,3,0)</f>
        <v>Cruce en T</v>
      </c>
      <c r="K51" s="9" t="s">
        <v>132</v>
      </c>
      <c r="L51" s="9">
        <f ca="1">VLOOKUP(RANDBETWEEN(1,6),Limitevelocidad!A:C,3,0)</f>
        <v>30</v>
      </c>
      <c r="M51" s="10">
        <f t="shared" ca="1" si="0"/>
        <v>21336</v>
      </c>
    </row>
    <row r="52" spans="1:13" ht="15.75" thickBot="1" x14ac:dyDescent="0.3">
      <c r="A52" s="12">
        <v>51</v>
      </c>
      <c r="B52" s="17" t="s">
        <v>237</v>
      </c>
      <c r="C52" s="20" t="s">
        <v>288</v>
      </c>
      <c r="D52" s="15" t="s">
        <v>119</v>
      </c>
      <c r="E52" s="23" t="e" vm="8">
        <v>#VALUE!</v>
      </c>
      <c r="F52" s="23" t="str">
        <f ca="1">VLOOKUP(RANDBETWEEN(1,5),EstadoVia!A:C,3,0)</f>
        <v>Regular</v>
      </c>
      <c r="G52" s="13">
        <v>6.687039756477386</v>
      </c>
      <c r="H52" s="13">
        <v>-70.915573593260618</v>
      </c>
      <c r="I52" s="13" t="str">
        <f ca="1">VLOOKUP(RANDBETWEEN(1,6),TipoVia!A:C,3,0)</f>
        <v>Arterial</v>
      </c>
      <c r="J52" s="13" t="str">
        <f ca="1">VLOOKUP(RANDBETWEEN(1,6),TipoIntersección!A:C,3,0)</f>
        <v>Cruce en X</v>
      </c>
      <c r="K52" s="13" t="s">
        <v>121</v>
      </c>
      <c r="L52" s="13">
        <f ca="1">VLOOKUP(RANDBETWEEN(1,6),Limitevelocidad!A:C,3,0)</f>
        <v>40</v>
      </c>
      <c r="M52" s="14">
        <f t="shared" ca="1" si="0"/>
        <v>34514</v>
      </c>
    </row>
    <row r="53" spans="1:13" ht="15.75" thickBot="1" x14ac:dyDescent="0.3">
      <c r="A53" s="8">
        <v>52</v>
      </c>
      <c r="B53" s="18" t="s">
        <v>238</v>
      </c>
      <c r="C53" s="21" t="s">
        <v>289</v>
      </c>
      <c r="D53" s="11" t="s">
        <v>126</v>
      </c>
      <c r="E53" s="24" t="e" vm="4">
        <v>#VALUE!</v>
      </c>
      <c r="F53" s="24" t="str">
        <f ca="1">VLOOKUP(RANDBETWEEN(1,5),EstadoVia!A:C,3,0)</f>
        <v>En mantenimiento</v>
      </c>
      <c r="G53" s="9">
        <v>5.0746069071255482</v>
      </c>
      <c r="H53" s="9">
        <v>-72.598640940338257</v>
      </c>
      <c r="I53" s="9" t="str">
        <f ca="1">VLOOKUP(RANDBETWEEN(1,6),TipoVia!A:C,3,0)</f>
        <v>Carretera nacional</v>
      </c>
      <c r="J53" s="9" t="str">
        <f ca="1">VLOOKUP(RANDBETWEEN(1,6),TipoIntersección!A:C,3,0)</f>
        <v>Cruce en T</v>
      </c>
      <c r="K53" s="9" t="s">
        <v>132</v>
      </c>
      <c r="L53" s="9">
        <f ca="1">VLOOKUP(RANDBETWEEN(1,6),Limitevelocidad!A:C,3,0)</f>
        <v>100</v>
      </c>
      <c r="M53" s="10">
        <f t="shared" ca="1" si="0"/>
        <v>17479</v>
      </c>
    </row>
    <row r="54" spans="1:13" ht="15.75" thickBot="1" x14ac:dyDescent="0.3">
      <c r="A54" s="12">
        <v>53</v>
      </c>
      <c r="B54" s="17" t="s">
        <v>239</v>
      </c>
      <c r="C54" s="20" t="s">
        <v>290</v>
      </c>
      <c r="D54" s="15" t="s">
        <v>234</v>
      </c>
      <c r="E54" s="23" t="e" vm="9">
        <v>#VALUE!</v>
      </c>
      <c r="F54" s="23" t="str">
        <f ca="1">VLOOKUP(RANDBETWEEN(1,5),EstadoVia!A:C,3,0)</f>
        <v>En mantenimiento</v>
      </c>
      <c r="G54" s="13">
        <v>4.6952175398914413</v>
      </c>
      <c r="H54" s="13">
        <v>-72.551021780317811</v>
      </c>
      <c r="I54" s="13" t="str">
        <f ca="1">VLOOKUP(RANDBETWEEN(1,6),TipoVia!A:C,3,0)</f>
        <v>Arterial</v>
      </c>
      <c r="J54" s="13" t="str">
        <f ca="1">VLOOKUP(RANDBETWEEN(1,6),TipoIntersección!A:C,3,0)</f>
        <v>Cruce en T</v>
      </c>
      <c r="K54" s="13" t="s">
        <v>121</v>
      </c>
      <c r="L54" s="13">
        <f ca="1">VLOOKUP(RANDBETWEEN(1,6),Limitevelocidad!A:C,3,0)</f>
        <v>30</v>
      </c>
      <c r="M54" s="14">
        <f t="shared" ca="1" si="0"/>
        <v>42609</v>
      </c>
    </row>
    <row r="55" spans="1:13" ht="15.75" thickBot="1" x14ac:dyDescent="0.3">
      <c r="A55" s="8">
        <v>54</v>
      </c>
      <c r="B55" s="18" t="s">
        <v>240</v>
      </c>
      <c r="C55" s="21" t="s">
        <v>291</v>
      </c>
      <c r="D55" s="11" t="s">
        <v>230</v>
      </c>
      <c r="E55" s="24" t="e" vm="1">
        <v>#VALUE!</v>
      </c>
      <c r="F55" s="24" t="str">
        <f ca="1">VLOOKUP(RANDBETWEEN(1,5),EstadoVia!A:C,3,0)</f>
        <v>En mantenimiento</v>
      </c>
      <c r="G55" s="9">
        <v>6.1868877286524846</v>
      </c>
      <c r="H55" s="9">
        <v>-72.745357750902869</v>
      </c>
      <c r="I55" s="9" t="str">
        <f ca="1">VLOOKUP(RANDBETWEEN(1,6),TipoVia!A:C,3,0)</f>
        <v>Autopista</v>
      </c>
      <c r="J55" s="9" t="str">
        <f ca="1">VLOOKUP(RANDBETWEEN(1,6),TipoIntersección!A:C,3,0)</f>
        <v>Cruce en X</v>
      </c>
      <c r="K55" s="9" t="s">
        <v>121</v>
      </c>
      <c r="L55" s="9">
        <f ca="1">VLOOKUP(RANDBETWEEN(1,6),Limitevelocidad!A:C,3,0)</f>
        <v>80</v>
      </c>
      <c r="M55" s="10">
        <f t="shared" ca="1" si="0"/>
        <v>39495</v>
      </c>
    </row>
    <row r="56" spans="1:13" ht="15.75" thickBot="1" x14ac:dyDescent="0.3">
      <c r="A56" s="12">
        <v>55</v>
      </c>
      <c r="B56" s="17" t="s">
        <v>241</v>
      </c>
      <c r="C56" s="20" t="s">
        <v>292</v>
      </c>
      <c r="D56" s="15" t="s">
        <v>131</v>
      </c>
      <c r="E56" s="23" t="e" vm="5">
        <v>#VALUE!</v>
      </c>
      <c r="F56" s="23" t="str">
        <f ca="1">VLOOKUP(RANDBETWEEN(1,5),EstadoVia!A:C,3,0)</f>
        <v>Malo</v>
      </c>
      <c r="G56" s="13">
        <v>6.8072257004683125</v>
      </c>
      <c r="H56" s="13">
        <v>-70.200314682286077</v>
      </c>
      <c r="I56" s="13" t="str">
        <f ca="1">VLOOKUP(RANDBETWEEN(1,6),TipoVia!A:C,3,0)</f>
        <v>Colectora</v>
      </c>
      <c r="J56" s="13" t="str">
        <f ca="1">VLOOKUP(RANDBETWEEN(1,6),TipoIntersección!A:C,3,0)</f>
        <v>Cruce en T</v>
      </c>
      <c r="K56" s="13" t="s">
        <v>121</v>
      </c>
      <c r="L56" s="13">
        <f ca="1">VLOOKUP(RANDBETWEEN(1,6),Limitevelocidad!A:C,3,0)</f>
        <v>30</v>
      </c>
      <c r="M56" s="14">
        <f t="shared" ca="1" si="0"/>
        <v>5015</v>
      </c>
    </row>
    <row r="57" spans="1:13" ht="15.75" thickBot="1" x14ac:dyDescent="0.3">
      <c r="A57" s="8">
        <v>56</v>
      </c>
      <c r="B57" s="18" t="s">
        <v>242</v>
      </c>
      <c r="C57" s="21" t="s">
        <v>293</v>
      </c>
      <c r="D57" s="11" t="s">
        <v>129</v>
      </c>
      <c r="E57" s="24" t="e" vm="6">
        <v>#VALUE!</v>
      </c>
      <c r="F57" s="24" t="str">
        <f ca="1">VLOOKUP(RANDBETWEEN(1,5),EstadoVia!A:C,3,0)</f>
        <v>Regular</v>
      </c>
      <c r="G57" s="9">
        <v>4.8557658767628862</v>
      </c>
      <c r="H57" s="9">
        <v>-73.924926570394447</v>
      </c>
      <c r="I57" s="9" t="str">
        <f ca="1">VLOOKUP(RANDBETWEEN(1,6),TipoVia!A:C,3,0)</f>
        <v>Autopista</v>
      </c>
      <c r="J57" s="9" t="str">
        <f ca="1">VLOOKUP(RANDBETWEEN(1,6),TipoIntersección!A:C,3,0)</f>
        <v>Intercambiador vial</v>
      </c>
      <c r="K57" s="9" t="s">
        <v>121</v>
      </c>
      <c r="L57" s="9">
        <f ca="1">VLOOKUP(RANDBETWEEN(1,6),Limitevelocidad!A:C,3,0)</f>
        <v>50</v>
      </c>
      <c r="M57" s="10">
        <f t="shared" ca="1" si="0"/>
        <v>9206</v>
      </c>
    </row>
    <row r="58" spans="1:13" ht="15.75" thickBot="1" x14ac:dyDescent="0.3">
      <c r="A58" s="12">
        <v>57</v>
      </c>
      <c r="B58" s="17" t="s">
        <v>243</v>
      </c>
      <c r="C58" s="20" t="s">
        <v>294</v>
      </c>
      <c r="D58" s="15" t="s">
        <v>233</v>
      </c>
      <c r="E58" s="23" t="e" vm="2">
        <v>#VALUE!</v>
      </c>
      <c r="F58" s="23" t="str">
        <f ca="1">VLOOKUP(RANDBETWEEN(1,5),EstadoVia!A:C,3,0)</f>
        <v>Malo</v>
      </c>
      <c r="G58" s="13">
        <v>6.4279183641139239</v>
      </c>
      <c r="H58" s="13">
        <v>-71.211097641225365</v>
      </c>
      <c r="I58" s="13" t="str">
        <f ca="1">VLOOKUP(RANDBETWEEN(1,6),TipoVia!A:C,3,0)</f>
        <v>Carretera nacional</v>
      </c>
      <c r="J58" s="13" t="str">
        <f ca="1">VLOOKUP(RANDBETWEEN(1,6),TipoIntersección!A:C,3,0)</f>
        <v>Glorieta</v>
      </c>
      <c r="K58" s="13" t="s">
        <v>121</v>
      </c>
      <c r="L58" s="13">
        <f ca="1">VLOOKUP(RANDBETWEEN(1,6),Limitevelocidad!A:C,3,0)</f>
        <v>80</v>
      </c>
      <c r="M58" s="14">
        <f t="shared" ca="1" si="0"/>
        <v>14795</v>
      </c>
    </row>
    <row r="59" spans="1:13" ht="15.75" thickBot="1" x14ac:dyDescent="0.3">
      <c r="A59" s="8">
        <v>58</v>
      </c>
      <c r="B59" s="18" t="s">
        <v>244</v>
      </c>
      <c r="C59" s="21" t="s">
        <v>295</v>
      </c>
      <c r="D59" s="11" t="s">
        <v>230</v>
      </c>
      <c r="E59" s="24" t="e" vm="1">
        <v>#VALUE!</v>
      </c>
      <c r="F59" s="24" t="str">
        <f ca="1">VLOOKUP(RANDBETWEEN(1,5),EstadoVia!A:C,3,0)</f>
        <v>En mantenimiento</v>
      </c>
      <c r="G59" s="9">
        <v>4.9417129880593249</v>
      </c>
      <c r="H59" s="9">
        <v>-71.088178632036886</v>
      </c>
      <c r="I59" s="9" t="str">
        <f ca="1">VLOOKUP(RANDBETWEEN(1,6),TipoVia!A:C,3,0)</f>
        <v>Carretera nacional</v>
      </c>
      <c r="J59" s="9" t="str">
        <f ca="1">VLOOKUP(RANDBETWEEN(1,6),TipoIntersección!A:C,3,0)</f>
        <v>Glorieta</v>
      </c>
      <c r="K59" s="9" t="s">
        <v>121</v>
      </c>
      <c r="L59" s="9">
        <f ca="1">VLOOKUP(RANDBETWEEN(1,6),Limitevelocidad!A:C,3,0)</f>
        <v>40</v>
      </c>
      <c r="M59" s="10">
        <f t="shared" ca="1" si="0"/>
        <v>37194</v>
      </c>
    </row>
    <row r="60" spans="1:13" ht="15.75" thickBot="1" x14ac:dyDescent="0.3">
      <c r="A60" s="12">
        <v>59</v>
      </c>
      <c r="B60" s="17" t="s">
        <v>245</v>
      </c>
      <c r="C60" s="20" t="s">
        <v>296</v>
      </c>
      <c r="D60" s="15" t="s">
        <v>229</v>
      </c>
      <c r="E60" s="23" t="e" vm="12">
        <v>#VALUE!</v>
      </c>
      <c r="F60" s="23" t="str">
        <f ca="1">VLOOKUP(RANDBETWEEN(1,5),EstadoVia!A:C,3,0)</f>
        <v>Excelente</v>
      </c>
      <c r="G60" s="13">
        <v>6.740355269873529</v>
      </c>
      <c r="H60" s="13">
        <v>-73.68536923857485</v>
      </c>
      <c r="I60" s="13" t="str">
        <f ca="1">VLOOKUP(RANDBETWEEN(1,6),TipoVia!A:C,3,0)</f>
        <v>Avenida</v>
      </c>
      <c r="J60" s="13" t="str">
        <f ca="1">VLOOKUP(RANDBETWEEN(1,6),TipoIntersección!A:C,3,0)</f>
        <v>Glorieta</v>
      </c>
      <c r="K60" s="13" t="s">
        <v>121</v>
      </c>
      <c r="L60" s="13">
        <f ca="1">VLOOKUP(RANDBETWEEN(1,6),Limitevelocidad!A:C,3,0)</f>
        <v>80</v>
      </c>
      <c r="M60" s="14">
        <f t="shared" ca="1" si="0"/>
        <v>19272</v>
      </c>
    </row>
    <row r="61" spans="1:13" ht="15.75" thickBot="1" x14ac:dyDescent="0.3">
      <c r="A61" s="8">
        <v>60</v>
      </c>
      <c r="B61" s="18" t="s">
        <v>246</v>
      </c>
      <c r="C61" s="21" t="s">
        <v>297</v>
      </c>
      <c r="D61" s="11" t="s">
        <v>235</v>
      </c>
      <c r="E61" s="24" t="e" vm="11">
        <v>#VALUE!</v>
      </c>
      <c r="F61" s="24" t="str">
        <f ca="1">VLOOKUP(RANDBETWEEN(1,5),EstadoVia!A:C,3,0)</f>
        <v>Bueno</v>
      </c>
      <c r="G61" s="9">
        <v>6.9456730253981886</v>
      </c>
      <c r="H61" s="9">
        <v>-71.759338081411158</v>
      </c>
      <c r="I61" s="9" t="str">
        <f ca="1">VLOOKUP(RANDBETWEEN(1,6),TipoVia!A:C,3,0)</f>
        <v>Local</v>
      </c>
      <c r="J61" s="9" t="str">
        <f ca="1">VLOOKUP(RANDBETWEEN(1,6),TipoIntersección!A:C,3,0)</f>
        <v>Paso a desnivel</v>
      </c>
      <c r="K61" s="9" t="s">
        <v>121</v>
      </c>
      <c r="L61" s="9">
        <f ca="1">VLOOKUP(RANDBETWEEN(1,6),Limitevelocidad!A:C,3,0)</f>
        <v>100</v>
      </c>
      <c r="M61" s="10">
        <f t="shared" ca="1" si="0"/>
        <v>10696</v>
      </c>
    </row>
    <row r="62" spans="1:13" ht="15.75" thickBot="1" x14ac:dyDescent="0.3">
      <c r="A62" s="12">
        <v>61</v>
      </c>
      <c r="B62" s="17" t="s">
        <v>247</v>
      </c>
      <c r="C62" s="20" t="s">
        <v>298</v>
      </c>
      <c r="D62" s="15" t="s">
        <v>234</v>
      </c>
      <c r="E62" s="23" t="e" vm="9">
        <v>#VALUE!</v>
      </c>
      <c r="F62" s="23" t="str">
        <f ca="1">VLOOKUP(RANDBETWEEN(1,5),EstadoVia!A:C,3,0)</f>
        <v>Excelente</v>
      </c>
      <c r="G62" s="13">
        <v>5.9868527289011446</v>
      </c>
      <c r="H62" s="13">
        <v>-73.060323729892886</v>
      </c>
      <c r="I62" s="13" t="str">
        <f ca="1">VLOOKUP(RANDBETWEEN(1,6),TipoVia!A:C,3,0)</f>
        <v>Colectora</v>
      </c>
      <c r="J62" s="13" t="str">
        <f ca="1">VLOOKUP(RANDBETWEEN(1,6),TipoIntersección!A:C,3,0)</f>
        <v>Cruce en T</v>
      </c>
      <c r="K62" s="13" t="s">
        <v>132</v>
      </c>
      <c r="L62" s="13">
        <f ca="1">VLOOKUP(RANDBETWEEN(1,6),Limitevelocidad!A:C,3,0)</f>
        <v>100</v>
      </c>
      <c r="M62" s="14">
        <f t="shared" ca="1" si="0"/>
        <v>49365</v>
      </c>
    </row>
    <row r="63" spans="1:13" ht="15.75" thickBot="1" x14ac:dyDescent="0.3">
      <c r="A63" s="8">
        <v>62</v>
      </c>
      <c r="B63" s="18" t="s">
        <v>248</v>
      </c>
      <c r="C63" s="21" t="s">
        <v>299</v>
      </c>
      <c r="D63" s="11" t="s">
        <v>119</v>
      </c>
      <c r="E63" s="24" t="e" vm="8">
        <v>#VALUE!</v>
      </c>
      <c r="F63" s="24" t="str">
        <f ca="1">VLOOKUP(RANDBETWEEN(1,5),EstadoVia!A:C,3,0)</f>
        <v>Bueno</v>
      </c>
      <c r="G63" s="9">
        <v>4.7797658322766461</v>
      </c>
      <c r="H63" s="9">
        <v>-72.456043703393405</v>
      </c>
      <c r="I63" s="9" t="str">
        <f ca="1">VLOOKUP(RANDBETWEEN(1,6),TipoVia!A:C,3,0)</f>
        <v>Colectora</v>
      </c>
      <c r="J63" s="9" t="str">
        <f ca="1">VLOOKUP(RANDBETWEEN(1,6),TipoIntersección!A:C,3,0)</f>
        <v>Cruce en X</v>
      </c>
      <c r="K63" s="9" t="s">
        <v>132</v>
      </c>
      <c r="L63" s="9">
        <f ca="1">VLOOKUP(RANDBETWEEN(1,6),Limitevelocidad!A:C,3,0)</f>
        <v>40</v>
      </c>
      <c r="M63" s="10">
        <f t="shared" ca="1" si="0"/>
        <v>16405</v>
      </c>
    </row>
    <row r="64" spans="1:13" ht="15.75" thickBot="1" x14ac:dyDescent="0.3">
      <c r="A64" s="12">
        <v>63</v>
      </c>
      <c r="B64" s="17" t="s">
        <v>249</v>
      </c>
      <c r="C64" s="20" t="s">
        <v>300</v>
      </c>
      <c r="D64" s="15" t="s">
        <v>235</v>
      </c>
      <c r="E64" s="23" t="e" vm="11">
        <v>#VALUE!</v>
      </c>
      <c r="F64" s="23" t="str">
        <f ca="1">VLOOKUP(RANDBETWEEN(1,5),EstadoVia!A:C,3,0)</f>
        <v>Regular</v>
      </c>
      <c r="G64" s="13">
        <v>6.017312095834086</v>
      </c>
      <c r="H64" s="13">
        <v>-72.49657382573784</v>
      </c>
      <c r="I64" s="13" t="str">
        <f ca="1">VLOOKUP(RANDBETWEEN(1,6),TipoVia!A:C,3,0)</f>
        <v>Autopista</v>
      </c>
      <c r="J64" s="13" t="str">
        <f ca="1">VLOOKUP(RANDBETWEEN(1,6),TipoIntersección!A:C,3,0)</f>
        <v>Cruce en X</v>
      </c>
      <c r="K64" s="13" t="s">
        <v>121</v>
      </c>
      <c r="L64" s="13">
        <f ca="1">VLOOKUP(RANDBETWEEN(1,6),Limitevelocidad!A:C,3,0)</f>
        <v>100</v>
      </c>
      <c r="M64" s="14">
        <f t="shared" ca="1" si="0"/>
        <v>9055</v>
      </c>
    </row>
    <row r="65" spans="1:13" ht="15.75" thickBot="1" x14ac:dyDescent="0.3">
      <c r="A65" s="8">
        <v>64</v>
      </c>
      <c r="B65" s="18" t="s">
        <v>250</v>
      </c>
      <c r="C65" s="21" t="s">
        <v>301</v>
      </c>
      <c r="D65" s="11" t="s">
        <v>126</v>
      </c>
      <c r="E65" s="24" t="e" vm="4">
        <v>#VALUE!</v>
      </c>
      <c r="F65" s="24" t="str">
        <f ca="1">VLOOKUP(RANDBETWEEN(1,5),EstadoVia!A:C,3,0)</f>
        <v>En mantenimiento</v>
      </c>
      <c r="G65" s="9">
        <v>6.2209278474320886</v>
      </c>
      <c r="H65" s="9">
        <v>-72.904732463065429</v>
      </c>
      <c r="I65" s="9" t="str">
        <f ca="1">VLOOKUP(RANDBETWEEN(1,6),TipoVia!A:C,3,0)</f>
        <v>Colectora</v>
      </c>
      <c r="J65" s="9" t="str">
        <f ca="1">VLOOKUP(RANDBETWEEN(1,6),TipoIntersección!A:C,3,0)</f>
        <v>Retorno</v>
      </c>
      <c r="K65" s="9" t="s">
        <v>121</v>
      </c>
      <c r="L65" s="9">
        <f ca="1">VLOOKUP(RANDBETWEEN(1,6),Limitevelocidad!A:C,3,0)</f>
        <v>80</v>
      </c>
      <c r="M65" s="10">
        <f t="shared" ca="1" si="0"/>
        <v>35832</v>
      </c>
    </row>
    <row r="66" spans="1:13" ht="15.75" thickBot="1" x14ac:dyDescent="0.3">
      <c r="A66" s="12">
        <v>65</v>
      </c>
      <c r="B66" s="17" t="s">
        <v>251</v>
      </c>
      <c r="C66" s="20" t="s">
        <v>302</v>
      </c>
      <c r="D66" s="15" t="s">
        <v>119</v>
      </c>
      <c r="E66" s="23" t="e" vm="8">
        <v>#VALUE!</v>
      </c>
      <c r="F66" s="23" t="str">
        <f ca="1">VLOOKUP(RANDBETWEEN(1,5),EstadoVia!A:C,3,0)</f>
        <v>En mantenimiento</v>
      </c>
      <c r="G66" s="13">
        <v>5.3992889193917719</v>
      </c>
      <c r="H66" s="13">
        <v>-70.602262021638069</v>
      </c>
      <c r="I66" s="13" t="str">
        <f ca="1">VLOOKUP(RANDBETWEEN(1,6),TipoVia!A:C,3,0)</f>
        <v>Avenida</v>
      </c>
      <c r="J66" s="13" t="str">
        <f ca="1">VLOOKUP(RANDBETWEEN(1,6),TipoIntersección!A:C,3,0)</f>
        <v>Intercambiador vial</v>
      </c>
      <c r="K66" s="13" t="s">
        <v>121</v>
      </c>
      <c r="L66" s="13">
        <f ca="1">VLOOKUP(RANDBETWEEN(1,6),Limitevelocidad!A:C,3,0)</f>
        <v>30</v>
      </c>
      <c r="M66" s="14">
        <f t="shared" ca="1" si="0"/>
        <v>36065</v>
      </c>
    </row>
    <row r="67" spans="1:13" ht="15.75" thickBot="1" x14ac:dyDescent="0.3">
      <c r="A67" s="8">
        <v>66</v>
      </c>
      <c r="B67" s="18" t="s">
        <v>252</v>
      </c>
      <c r="C67" s="21" t="s">
        <v>303</v>
      </c>
      <c r="D67" s="11" t="s">
        <v>230</v>
      </c>
      <c r="E67" s="24" t="e" vm="1">
        <v>#VALUE!</v>
      </c>
      <c r="F67" s="24" t="str">
        <f ca="1">VLOOKUP(RANDBETWEEN(1,5),EstadoVia!A:C,3,0)</f>
        <v>En mantenimiento</v>
      </c>
      <c r="G67" s="9">
        <v>6.9596179455069498</v>
      </c>
      <c r="H67" s="9">
        <v>-73.230503081737723</v>
      </c>
      <c r="I67" s="9" t="str">
        <f ca="1">VLOOKUP(RANDBETWEEN(1,6),TipoVia!A:C,3,0)</f>
        <v>Avenida</v>
      </c>
      <c r="J67" s="9" t="str">
        <f ca="1">VLOOKUP(RANDBETWEEN(1,6),TipoIntersección!A:C,3,0)</f>
        <v>Paso a desnivel</v>
      </c>
      <c r="K67" s="9" t="s">
        <v>121</v>
      </c>
      <c r="L67" s="9">
        <f ca="1">VLOOKUP(RANDBETWEEN(1,6),Limitevelocidad!A:C,3,0)</f>
        <v>40</v>
      </c>
      <c r="M67" s="10">
        <f t="shared" ref="M67:M101" ca="1" si="1">RANDBETWEEN(5000,50000)</f>
        <v>42083</v>
      </c>
    </row>
    <row r="68" spans="1:13" ht="15.75" thickBot="1" x14ac:dyDescent="0.3">
      <c r="A68" s="12">
        <v>67</v>
      </c>
      <c r="B68" s="17" t="s">
        <v>253</v>
      </c>
      <c r="C68" s="20" t="s">
        <v>304</v>
      </c>
      <c r="D68" s="15" t="s">
        <v>230</v>
      </c>
      <c r="E68" s="23" t="e" vm="1">
        <v>#VALUE!</v>
      </c>
      <c r="F68" s="23" t="str">
        <f ca="1">VLOOKUP(RANDBETWEEN(1,5),EstadoVia!A:C,3,0)</f>
        <v>Bueno</v>
      </c>
      <c r="G68" s="13">
        <v>5.3769543947658907</v>
      </c>
      <c r="H68" s="13">
        <v>-73.802208539019034</v>
      </c>
      <c r="I68" s="13" t="str">
        <f ca="1">VLOOKUP(RANDBETWEEN(1,6),TipoVia!A:C,3,0)</f>
        <v>Colectora</v>
      </c>
      <c r="J68" s="13" t="str">
        <f ca="1">VLOOKUP(RANDBETWEEN(1,6),TipoIntersección!A:C,3,0)</f>
        <v>Cruce en T</v>
      </c>
      <c r="K68" s="13" t="s">
        <v>121</v>
      </c>
      <c r="L68" s="13">
        <f ca="1">VLOOKUP(RANDBETWEEN(1,6),Limitevelocidad!A:C,3,0)</f>
        <v>30</v>
      </c>
      <c r="M68" s="14">
        <f t="shared" ca="1" si="1"/>
        <v>47294</v>
      </c>
    </row>
    <row r="69" spans="1:13" ht="15.75" thickBot="1" x14ac:dyDescent="0.3">
      <c r="A69" s="8">
        <v>68</v>
      </c>
      <c r="B69" s="18" t="s">
        <v>254</v>
      </c>
      <c r="C69" s="21" t="s">
        <v>305</v>
      </c>
      <c r="D69" s="11" t="s">
        <v>131</v>
      </c>
      <c r="E69" s="24" t="e" vm="5">
        <v>#VALUE!</v>
      </c>
      <c r="F69" s="24" t="str">
        <f ca="1">VLOOKUP(RANDBETWEEN(1,5),EstadoVia!A:C,3,0)</f>
        <v>Excelente</v>
      </c>
      <c r="G69" s="9">
        <v>5.5164902314197155</v>
      </c>
      <c r="H69" s="9">
        <v>-72.582200017337783</v>
      </c>
      <c r="I69" s="9" t="str">
        <f ca="1">VLOOKUP(RANDBETWEEN(1,6),TipoVia!A:C,3,0)</f>
        <v>Avenida</v>
      </c>
      <c r="J69" s="9" t="str">
        <f ca="1">VLOOKUP(RANDBETWEEN(1,6),TipoIntersección!A:C,3,0)</f>
        <v>Retorno</v>
      </c>
      <c r="K69" s="9" t="s">
        <v>132</v>
      </c>
      <c r="L69" s="9">
        <f ca="1">VLOOKUP(RANDBETWEEN(1,6),Limitevelocidad!A:C,3,0)</f>
        <v>50</v>
      </c>
      <c r="M69" s="10">
        <f t="shared" ca="1" si="1"/>
        <v>33498</v>
      </c>
    </row>
    <row r="70" spans="1:13" ht="15.75" thickBot="1" x14ac:dyDescent="0.3">
      <c r="A70" s="12">
        <v>69</v>
      </c>
      <c r="B70" s="17" t="s">
        <v>255</v>
      </c>
      <c r="C70" s="20" t="s">
        <v>306</v>
      </c>
      <c r="D70" s="15" t="s">
        <v>129</v>
      </c>
      <c r="E70" s="23" t="e" vm="6">
        <v>#VALUE!</v>
      </c>
      <c r="F70" s="23" t="str">
        <f ca="1">VLOOKUP(RANDBETWEEN(1,5),EstadoVia!A:C,3,0)</f>
        <v>Bueno</v>
      </c>
      <c r="G70" s="13">
        <v>4.5388315403491859</v>
      </c>
      <c r="H70" s="13">
        <v>-70.524164929426817</v>
      </c>
      <c r="I70" s="13" t="str">
        <f ca="1">VLOOKUP(RANDBETWEEN(1,6),TipoVia!A:C,3,0)</f>
        <v>Carretera nacional</v>
      </c>
      <c r="J70" s="13" t="str">
        <f ca="1">VLOOKUP(RANDBETWEEN(1,6),TipoIntersección!A:C,3,0)</f>
        <v>Cruce en T</v>
      </c>
      <c r="K70" s="13" t="s">
        <v>132</v>
      </c>
      <c r="L70" s="13">
        <f ca="1">VLOOKUP(RANDBETWEEN(1,6),Limitevelocidad!A:C,3,0)</f>
        <v>30</v>
      </c>
      <c r="M70" s="14">
        <f t="shared" ca="1" si="1"/>
        <v>33010</v>
      </c>
    </row>
    <row r="71" spans="1:13" ht="15.75" thickBot="1" x14ac:dyDescent="0.3">
      <c r="A71" s="8">
        <v>70</v>
      </c>
      <c r="B71" s="18" t="s">
        <v>256</v>
      </c>
      <c r="C71" s="21" t="s">
        <v>307</v>
      </c>
      <c r="D71" s="11" t="s">
        <v>123</v>
      </c>
      <c r="E71" s="24" t="e" vm="7">
        <v>#VALUE!</v>
      </c>
      <c r="F71" s="24" t="str">
        <f ca="1">VLOOKUP(RANDBETWEEN(1,5),EstadoVia!A:C,3,0)</f>
        <v>Malo</v>
      </c>
      <c r="G71" s="9">
        <v>6.7061854782366765</v>
      </c>
      <c r="H71" s="9">
        <v>-70.735603332272902</v>
      </c>
      <c r="I71" s="9" t="str">
        <f ca="1">VLOOKUP(RANDBETWEEN(1,6),TipoVia!A:C,3,0)</f>
        <v>Autopista</v>
      </c>
      <c r="J71" s="9" t="str">
        <f ca="1">VLOOKUP(RANDBETWEEN(1,6),TipoIntersección!A:C,3,0)</f>
        <v>Cruce en T</v>
      </c>
      <c r="K71" s="9" t="s">
        <v>132</v>
      </c>
      <c r="L71" s="9">
        <f ca="1">VLOOKUP(RANDBETWEEN(1,6),Limitevelocidad!A:C,3,0)</f>
        <v>50</v>
      </c>
      <c r="M71" s="10">
        <f t="shared" ca="1" si="1"/>
        <v>45276</v>
      </c>
    </row>
    <row r="72" spans="1:13" ht="15.75" thickBot="1" x14ac:dyDescent="0.3">
      <c r="A72" s="12">
        <v>71</v>
      </c>
      <c r="B72" s="17" t="s">
        <v>257</v>
      </c>
      <c r="C72" s="20" t="s">
        <v>308</v>
      </c>
      <c r="D72" s="15" t="s">
        <v>131</v>
      </c>
      <c r="E72" s="23" t="e" vm="5">
        <v>#VALUE!</v>
      </c>
      <c r="F72" s="23" t="str">
        <f ca="1">VLOOKUP(RANDBETWEEN(1,5),EstadoVia!A:C,3,0)</f>
        <v>Excelente</v>
      </c>
      <c r="G72" s="13">
        <v>4.8821264223684882</v>
      </c>
      <c r="H72" s="13">
        <v>-70.513099667871117</v>
      </c>
      <c r="I72" s="13" t="str">
        <f ca="1">VLOOKUP(RANDBETWEEN(1,6),TipoVia!A:C,3,0)</f>
        <v>Arterial</v>
      </c>
      <c r="J72" s="13" t="str">
        <f ca="1">VLOOKUP(RANDBETWEEN(1,6),TipoIntersección!A:C,3,0)</f>
        <v>Retorno</v>
      </c>
      <c r="K72" s="13" t="s">
        <v>121</v>
      </c>
      <c r="L72" s="13">
        <f ca="1">VLOOKUP(RANDBETWEEN(1,6),Limitevelocidad!A:C,3,0)</f>
        <v>30</v>
      </c>
      <c r="M72" s="14">
        <f t="shared" ca="1" si="1"/>
        <v>39792</v>
      </c>
    </row>
    <row r="73" spans="1:13" ht="15.75" thickBot="1" x14ac:dyDescent="0.3">
      <c r="A73" s="8">
        <v>72</v>
      </c>
      <c r="B73" s="18" t="s">
        <v>258</v>
      </c>
      <c r="C73" s="21" t="s">
        <v>309</v>
      </c>
      <c r="D73" s="11" t="s">
        <v>234</v>
      </c>
      <c r="E73" s="24" t="e" vm="9">
        <v>#VALUE!</v>
      </c>
      <c r="F73" s="24" t="str">
        <f ca="1">VLOOKUP(RANDBETWEEN(1,5),EstadoVia!A:C,3,0)</f>
        <v>Bueno</v>
      </c>
      <c r="G73" s="9">
        <v>5.6497417022372458</v>
      </c>
      <c r="H73" s="9">
        <v>-70.117374317283279</v>
      </c>
      <c r="I73" s="9" t="str">
        <f ca="1">VLOOKUP(RANDBETWEEN(1,6),TipoVia!A:C,3,0)</f>
        <v>Avenida</v>
      </c>
      <c r="J73" s="9" t="str">
        <f ca="1">VLOOKUP(RANDBETWEEN(1,6),TipoIntersección!A:C,3,0)</f>
        <v>Cruce en X</v>
      </c>
      <c r="K73" s="9" t="s">
        <v>121</v>
      </c>
      <c r="L73" s="9">
        <f ca="1">VLOOKUP(RANDBETWEEN(1,6),Limitevelocidad!A:C,3,0)</f>
        <v>30</v>
      </c>
      <c r="M73" s="10">
        <f t="shared" ca="1" si="1"/>
        <v>7490</v>
      </c>
    </row>
    <row r="74" spans="1:13" ht="15.75" thickBot="1" x14ac:dyDescent="0.3">
      <c r="A74" s="12">
        <v>73</v>
      </c>
      <c r="B74" s="17" t="s">
        <v>259</v>
      </c>
      <c r="C74" s="20" t="s">
        <v>310</v>
      </c>
      <c r="D74" s="15" t="s">
        <v>235</v>
      </c>
      <c r="E74" s="23" t="e" vm="11">
        <v>#VALUE!</v>
      </c>
      <c r="F74" s="23" t="str">
        <f ca="1">VLOOKUP(RANDBETWEEN(1,5),EstadoVia!A:C,3,0)</f>
        <v>En mantenimiento</v>
      </c>
      <c r="G74" s="13">
        <v>6.2578048515788565</v>
      </c>
      <c r="H74" s="13">
        <v>-72.688379323135862</v>
      </c>
      <c r="I74" s="13" t="str">
        <f ca="1">VLOOKUP(RANDBETWEEN(1,6),TipoVia!A:C,3,0)</f>
        <v>Carretera nacional</v>
      </c>
      <c r="J74" s="13" t="str">
        <f ca="1">VLOOKUP(RANDBETWEEN(1,6),TipoIntersección!A:C,3,0)</f>
        <v>Cruce en X</v>
      </c>
      <c r="K74" s="13" t="s">
        <v>132</v>
      </c>
      <c r="L74" s="13">
        <f ca="1">VLOOKUP(RANDBETWEEN(1,6),Limitevelocidad!A:C,3,0)</f>
        <v>100</v>
      </c>
      <c r="M74" s="14">
        <f t="shared" ca="1" si="1"/>
        <v>23309</v>
      </c>
    </row>
    <row r="75" spans="1:13" ht="15.75" thickBot="1" x14ac:dyDescent="0.3">
      <c r="A75" s="8">
        <v>74</v>
      </c>
      <c r="B75" s="18" t="s">
        <v>260</v>
      </c>
      <c r="C75" s="21" t="s">
        <v>311</v>
      </c>
      <c r="D75" s="11" t="s">
        <v>126</v>
      </c>
      <c r="E75" s="24" t="e" vm="4">
        <v>#VALUE!</v>
      </c>
      <c r="F75" s="24" t="str">
        <f ca="1">VLOOKUP(RANDBETWEEN(1,5),EstadoVia!A:C,3,0)</f>
        <v>Bueno</v>
      </c>
      <c r="G75" s="9">
        <v>6.4787816762601214</v>
      </c>
      <c r="H75" s="9">
        <v>-70.686053083091409</v>
      </c>
      <c r="I75" s="9" t="str">
        <f ca="1">VLOOKUP(RANDBETWEEN(1,6),TipoVia!A:C,3,0)</f>
        <v>Colectora</v>
      </c>
      <c r="J75" s="9" t="str">
        <f ca="1">VLOOKUP(RANDBETWEEN(1,6),TipoIntersección!A:C,3,0)</f>
        <v>Cruce en X</v>
      </c>
      <c r="K75" s="9" t="s">
        <v>132</v>
      </c>
      <c r="L75" s="9">
        <f ca="1">VLOOKUP(RANDBETWEEN(1,6),Limitevelocidad!A:C,3,0)</f>
        <v>80</v>
      </c>
      <c r="M75" s="10">
        <f t="shared" ca="1" si="1"/>
        <v>42529</v>
      </c>
    </row>
    <row r="76" spans="1:13" ht="15.75" thickBot="1" x14ac:dyDescent="0.3">
      <c r="A76" s="12">
        <v>75</v>
      </c>
      <c r="B76" s="17" t="s">
        <v>261</v>
      </c>
      <c r="C76" s="20" t="s">
        <v>312</v>
      </c>
      <c r="D76" s="15" t="s">
        <v>230</v>
      </c>
      <c r="E76" s="23" t="e" vm="1">
        <v>#VALUE!</v>
      </c>
      <c r="F76" s="23" t="str">
        <f ca="1">VLOOKUP(RANDBETWEEN(1,5),EstadoVia!A:C,3,0)</f>
        <v>Malo</v>
      </c>
      <c r="G76" s="13">
        <v>5.860224352083673</v>
      </c>
      <c r="H76" s="13">
        <v>-72.053138277264978</v>
      </c>
      <c r="I76" s="13" t="str">
        <f ca="1">VLOOKUP(RANDBETWEEN(1,6),TipoVia!A:C,3,0)</f>
        <v>Colectora</v>
      </c>
      <c r="J76" s="13" t="str">
        <f ca="1">VLOOKUP(RANDBETWEEN(1,6),TipoIntersección!A:C,3,0)</f>
        <v>Retorno</v>
      </c>
      <c r="K76" s="13" t="s">
        <v>121</v>
      </c>
      <c r="L76" s="13">
        <f ca="1">VLOOKUP(RANDBETWEEN(1,6),Limitevelocidad!A:C,3,0)</f>
        <v>50</v>
      </c>
      <c r="M76" s="14">
        <f t="shared" ca="1" si="1"/>
        <v>34510</v>
      </c>
    </row>
    <row r="77" spans="1:13" ht="15.75" thickBot="1" x14ac:dyDescent="0.3">
      <c r="A77" s="8">
        <v>76</v>
      </c>
      <c r="B77" s="18" t="s">
        <v>262</v>
      </c>
      <c r="C77" s="21" t="s">
        <v>313</v>
      </c>
      <c r="D77" s="11" t="s">
        <v>235</v>
      </c>
      <c r="E77" s="24" t="e" vm="11">
        <v>#VALUE!</v>
      </c>
      <c r="F77" s="24" t="str">
        <f ca="1">VLOOKUP(RANDBETWEEN(1,5),EstadoVia!A:C,3,0)</f>
        <v>En mantenimiento</v>
      </c>
      <c r="G77" s="9">
        <v>4.2366219832313439</v>
      </c>
      <c r="H77" s="9">
        <v>-70.96707907246541</v>
      </c>
      <c r="I77" s="9" t="str">
        <f ca="1">VLOOKUP(RANDBETWEEN(1,6),TipoVia!A:C,3,0)</f>
        <v>Avenida</v>
      </c>
      <c r="J77" s="9" t="str">
        <f ca="1">VLOOKUP(RANDBETWEEN(1,6),TipoIntersección!A:C,3,0)</f>
        <v>Intercambiador vial</v>
      </c>
      <c r="K77" s="9" t="s">
        <v>132</v>
      </c>
      <c r="L77" s="9">
        <f ca="1">VLOOKUP(RANDBETWEEN(1,6),Limitevelocidad!A:C,3,0)</f>
        <v>30</v>
      </c>
      <c r="M77" s="10">
        <f t="shared" ca="1" si="1"/>
        <v>9974</v>
      </c>
    </row>
    <row r="78" spans="1:13" ht="15.75" thickBot="1" x14ac:dyDescent="0.3">
      <c r="A78" s="12">
        <v>77</v>
      </c>
      <c r="B78" s="17" t="s">
        <v>263</v>
      </c>
      <c r="C78" s="20" t="s">
        <v>314</v>
      </c>
      <c r="D78" s="15" t="s">
        <v>234</v>
      </c>
      <c r="E78" s="23" t="e" vm="9">
        <v>#VALUE!</v>
      </c>
      <c r="F78" s="23" t="str">
        <f ca="1">VLOOKUP(RANDBETWEEN(1,5),EstadoVia!A:C,3,0)</f>
        <v>Excelente</v>
      </c>
      <c r="G78" s="13">
        <v>6.1001401366085952</v>
      </c>
      <c r="H78" s="13">
        <v>-71.75980510049304</v>
      </c>
      <c r="I78" s="13" t="str">
        <f ca="1">VLOOKUP(RANDBETWEEN(1,6),TipoVia!A:C,3,0)</f>
        <v>Local</v>
      </c>
      <c r="J78" s="13" t="str">
        <f ca="1">VLOOKUP(RANDBETWEEN(1,6),TipoIntersección!A:C,3,0)</f>
        <v>Cruce en T</v>
      </c>
      <c r="K78" s="13" t="s">
        <v>132</v>
      </c>
      <c r="L78" s="13">
        <f ca="1">VLOOKUP(RANDBETWEEN(1,6),Limitevelocidad!A:C,3,0)</f>
        <v>40</v>
      </c>
      <c r="M78" s="14">
        <f t="shared" ca="1" si="1"/>
        <v>42005</v>
      </c>
    </row>
    <row r="79" spans="1:13" ht="15.75" thickBot="1" x14ac:dyDescent="0.3">
      <c r="A79" s="8">
        <v>78</v>
      </c>
      <c r="B79" s="18" t="s">
        <v>264</v>
      </c>
      <c r="C79" s="21" t="s">
        <v>315</v>
      </c>
      <c r="D79" s="11" t="s">
        <v>232</v>
      </c>
      <c r="E79" s="24" t="e" vm="3">
        <v>#VALUE!</v>
      </c>
      <c r="F79" s="24" t="str">
        <f ca="1">VLOOKUP(RANDBETWEEN(1,5),EstadoVia!A:C,3,0)</f>
        <v>Regular</v>
      </c>
      <c r="G79" s="9">
        <v>6.9467664871387056</v>
      </c>
      <c r="H79" s="9">
        <v>-72.812790844533666</v>
      </c>
      <c r="I79" s="9" t="str">
        <f ca="1">VLOOKUP(RANDBETWEEN(1,6),TipoVia!A:C,3,0)</f>
        <v>Autopista</v>
      </c>
      <c r="J79" s="9" t="str">
        <f ca="1">VLOOKUP(RANDBETWEEN(1,6),TipoIntersección!A:C,3,0)</f>
        <v>Intercambiador vial</v>
      </c>
      <c r="K79" s="9" t="s">
        <v>132</v>
      </c>
      <c r="L79" s="9">
        <f ca="1">VLOOKUP(RANDBETWEEN(1,6),Limitevelocidad!A:C,3,0)</f>
        <v>80</v>
      </c>
      <c r="M79" s="10">
        <f t="shared" ca="1" si="1"/>
        <v>10201</v>
      </c>
    </row>
    <row r="80" spans="1:13" ht="15.75" thickBot="1" x14ac:dyDescent="0.3">
      <c r="A80" s="12">
        <v>79</v>
      </c>
      <c r="B80" s="17" t="s">
        <v>265</v>
      </c>
      <c r="C80" s="20" t="s">
        <v>316</v>
      </c>
      <c r="D80" s="15" t="s">
        <v>229</v>
      </c>
      <c r="E80" s="23" t="e" vm="12">
        <v>#VALUE!</v>
      </c>
      <c r="F80" s="23" t="str">
        <f ca="1">VLOOKUP(RANDBETWEEN(1,5),EstadoVia!A:C,3,0)</f>
        <v>Malo</v>
      </c>
      <c r="G80" s="13">
        <v>5.863680705381114</v>
      </c>
      <c r="H80" s="13">
        <v>-71.846826791145872</v>
      </c>
      <c r="I80" s="13" t="str">
        <f ca="1">VLOOKUP(RANDBETWEEN(1,6),TipoVia!A:C,3,0)</f>
        <v>Autopista</v>
      </c>
      <c r="J80" s="13" t="str">
        <f ca="1">VLOOKUP(RANDBETWEEN(1,6),TipoIntersección!A:C,3,0)</f>
        <v>Cruce en T</v>
      </c>
      <c r="K80" s="13" t="s">
        <v>121</v>
      </c>
      <c r="L80" s="13">
        <f ca="1">VLOOKUP(RANDBETWEEN(1,6),Limitevelocidad!A:C,3,0)</f>
        <v>60</v>
      </c>
      <c r="M80" s="14">
        <f t="shared" ca="1" si="1"/>
        <v>11031</v>
      </c>
    </row>
    <row r="81" spans="1:13" ht="15.75" thickBot="1" x14ac:dyDescent="0.3">
      <c r="A81" s="8">
        <v>80</v>
      </c>
      <c r="B81" s="18" t="s">
        <v>266</v>
      </c>
      <c r="C81" s="21" t="s">
        <v>317</v>
      </c>
      <c r="D81" s="11" t="s">
        <v>230</v>
      </c>
      <c r="E81" s="24" t="e" vm="1">
        <v>#VALUE!</v>
      </c>
      <c r="F81" s="24" t="str">
        <f ca="1">VLOOKUP(RANDBETWEEN(1,5),EstadoVia!A:C,3,0)</f>
        <v>En mantenimiento</v>
      </c>
      <c r="G81" s="9">
        <v>5.9714706035077549</v>
      </c>
      <c r="H81" s="9">
        <v>-70.265767466076923</v>
      </c>
      <c r="I81" s="9" t="str">
        <f ca="1">VLOOKUP(RANDBETWEEN(1,6),TipoVia!A:C,3,0)</f>
        <v>Autopista</v>
      </c>
      <c r="J81" s="9" t="str">
        <f ca="1">VLOOKUP(RANDBETWEEN(1,6),TipoIntersección!A:C,3,0)</f>
        <v>Paso a desnivel</v>
      </c>
      <c r="K81" s="9" t="s">
        <v>121</v>
      </c>
      <c r="L81" s="9">
        <f ca="1">VLOOKUP(RANDBETWEEN(1,6),Limitevelocidad!A:C,3,0)</f>
        <v>40</v>
      </c>
      <c r="M81" s="10">
        <f t="shared" ca="1" si="1"/>
        <v>17496</v>
      </c>
    </row>
    <row r="82" spans="1:13" ht="15.75" thickBot="1" x14ac:dyDescent="0.3">
      <c r="A82" s="12">
        <v>81</v>
      </c>
      <c r="B82" s="17" t="s">
        <v>267</v>
      </c>
      <c r="C82" s="20" t="s">
        <v>318</v>
      </c>
      <c r="D82" s="15" t="s">
        <v>123</v>
      </c>
      <c r="E82" s="23" t="e" vm="7">
        <v>#VALUE!</v>
      </c>
      <c r="F82" s="23" t="str">
        <f ca="1">VLOOKUP(RANDBETWEEN(1,5),EstadoVia!A:C,3,0)</f>
        <v>Regular</v>
      </c>
      <c r="G82" s="13">
        <v>4.9099838881386519</v>
      </c>
      <c r="H82" s="13">
        <v>-71.744053188711277</v>
      </c>
      <c r="I82" s="13" t="str">
        <f ca="1">VLOOKUP(RANDBETWEEN(1,6),TipoVia!A:C,3,0)</f>
        <v>Colectora</v>
      </c>
      <c r="J82" s="13" t="str">
        <f ca="1">VLOOKUP(RANDBETWEEN(1,6),TipoIntersección!A:C,3,0)</f>
        <v>Intercambiador vial</v>
      </c>
      <c r="K82" s="13" t="s">
        <v>121</v>
      </c>
      <c r="L82" s="13">
        <f ca="1">VLOOKUP(RANDBETWEEN(1,6),Limitevelocidad!A:C,3,0)</f>
        <v>30</v>
      </c>
      <c r="M82" s="14">
        <f t="shared" ca="1" si="1"/>
        <v>31431</v>
      </c>
    </row>
    <row r="83" spans="1:13" ht="15.75" thickBot="1" x14ac:dyDescent="0.3">
      <c r="A83" s="8">
        <v>82</v>
      </c>
      <c r="B83" s="18" t="s">
        <v>268</v>
      </c>
      <c r="C83" s="21" t="s">
        <v>319</v>
      </c>
      <c r="D83" s="11" t="s">
        <v>129</v>
      </c>
      <c r="E83" s="24" t="e" vm="6">
        <v>#VALUE!</v>
      </c>
      <c r="F83" s="24" t="str">
        <f ca="1">VLOOKUP(RANDBETWEEN(1,5),EstadoVia!A:C,3,0)</f>
        <v>Excelente</v>
      </c>
      <c r="G83" s="9">
        <v>4.5775455687334263</v>
      </c>
      <c r="H83" s="9">
        <v>-71.022725227936803</v>
      </c>
      <c r="I83" s="9" t="str">
        <f ca="1">VLOOKUP(RANDBETWEEN(1,6),TipoVia!A:C,3,0)</f>
        <v>Autopista</v>
      </c>
      <c r="J83" s="9" t="str">
        <f ca="1">VLOOKUP(RANDBETWEEN(1,6),TipoIntersección!A:C,3,0)</f>
        <v>Intercambiador vial</v>
      </c>
      <c r="K83" s="9" t="s">
        <v>132</v>
      </c>
      <c r="L83" s="9">
        <f ca="1">VLOOKUP(RANDBETWEEN(1,6),Limitevelocidad!A:C,3,0)</f>
        <v>30</v>
      </c>
      <c r="M83" s="10">
        <f t="shared" ca="1" si="1"/>
        <v>34151</v>
      </c>
    </row>
    <row r="84" spans="1:13" ht="15.75" thickBot="1" x14ac:dyDescent="0.3">
      <c r="A84" s="12">
        <v>83</v>
      </c>
      <c r="B84" s="17" t="s">
        <v>269</v>
      </c>
      <c r="C84" s="20" t="s">
        <v>320</v>
      </c>
      <c r="D84" s="15" t="s">
        <v>129</v>
      </c>
      <c r="E84" s="23" t="e" vm="6">
        <v>#VALUE!</v>
      </c>
      <c r="F84" s="23" t="str">
        <f ca="1">VLOOKUP(RANDBETWEEN(1,5),EstadoVia!A:C,3,0)</f>
        <v>Regular</v>
      </c>
      <c r="G84" s="13">
        <v>4.9041426968738984</v>
      </c>
      <c r="H84" s="13">
        <v>-70.351125663980497</v>
      </c>
      <c r="I84" s="13" t="str">
        <f ca="1">VLOOKUP(RANDBETWEEN(1,6),TipoVia!A:C,3,0)</f>
        <v>Arterial</v>
      </c>
      <c r="J84" s="13" t="str">
        <f ca="1">VLOOKUP(RANDBETWEEN(1,6),TipoIntersección!A:C,3,0)</f>
        <v>Glorieta</v>
      </c>
      <c r="K84" s="13" t="s">
        <v>121</v>
      </c>
      <c r="L84" s="13">
        <f ca="1">VLOOKUP(RANDBETWEEN(1,6),Limitevelocidad!A:C,3,0)</f>
        <v>40</v>
      </c>
      <c r="M84" s="14">
        <f t="shared" ca="1" si="1"/>
        <v>19720</v>
      </c>
    </row>
    <row r="85" spans="1:13" ht="15.75" thickBot="1" x14ac:dyDescent="0.3">
      <c r="A85" s="8">
        <v>84</v>
      </c>
      <c r="B85" s="18" t="s">
        <v>271</v>
      </c>
      <c r="C85" s="21" t="s">
        <v>321</v>
      </c>
      <c r="D85" s="11" t="s">
        <v>123</v>
      </c>
      <c r="E85" s="24" t="e" vm="7">
        <v>#VALUE!</v>
      </c>
      <c r="F85" s="24" t="str">
        <f ca="1">VLOOKUP(RANDBETWEEN(1,5),EstadoVia!A:C,3,0)</f>
        <v>En mantenimiento</v>
      </c>
      <c r="G85" s="9">
        <v>5.6920465530535154</v>
      </c>
      <c r="H85" s="9">
        <v>-73.345466714778226</v>
      </c>
      <c r="I85" s="9" t="str">
        <f ca="1">VLOOKUP(RANDBETWEEN(1,6),TipoVia!A:C,3,0)</f>
        <v>Arterial</v>
      </c>
      <c r="J85" s="9" t="str">
        <f ca="1">VLOOKUP(RANDBETWEEN(1,6),TipoIntersección!A:C,3,0)</f>
        <v>Glorieta</v>
      </c>
      <c r="K85" s="9" t="s">
        <v>121</v>
      </c>
      <c r="L85" s="9">
        <f ca="1">VLOOKUP(RANDBETWEEN(1,6),Limitevelocidad!A:C,3,0)</f>
        <v>50</v>
      </c>
      <c r="M85" s="10">
        <f t="shared" ca="1" si="1"/>
        <v>37105</v>
      </c>
    </row>
    <row r="86" spans="1:13" ht="15.75" thickBot="1" x14ac:dyDescent="0.3">
      <c r="A86" s="12">
        <v>85</v>
      </c>
      <c r="B86" s="17" t="s">
        <v>272</v>
      </c>
      <c r="C86" s="20" t="s">
        <v>322</v>
      </c>
      <c r="D86" s="15" t="s">
        <v>126</v>
      </c>
      <c r="E86" s="23" t="e" vm="4">
        <v>#VALUE!</v>
      </c>
      <c r="F86" s="23" t="str">
        <f ca="1">VLOOKUP(RANDBETWEEN(1,5),EstadoVia!A:C,3,0)</f>
        <v>Regular</v>
      </c>
      <c r="G86" s="13">
        <v>4.3917341279994684</v>
      </c>
      <c r="H86" s="13">
        <v>-71.746022659090329</v>
      </c>
      <c r="I86" s="13" t="str">
        <f ca="1">VLOOKUP(RANDBETWEEN(1,6),TipoVia!A:C,3,0)</f>
        <v>Arterial</v>
      </c>
      <c r="J86" s="13" t="str">
        <f ca="1">VLOOKUP(RANDBETWEEN(1,6),TipoIntersección!A:C,3,0)</f>
        <v>Glorieta</v>
      </c>
      <c r="K86" s="13" t="s">
        <v>121</v>
      </c>
      <c r="L86" s="13">
        <f ca="1">VLOOKUP(RANDBETWEEN(1,6),Limitevelocidad!A:C,3,0)</f>
        <v>80</v>
      </c>
      <c r="M86" s="14">
        <f t="shared" ca="1" si="1"/>
        <v>44979</v>
      </c>
    </row>
    <row r="87" spans="1:13" ht="15.75" thickBot="1" x14ac:dyDescent="0.3">
      <c r="A87" s="8">
        <v>86</v>
      </c>
      <c r="B87" s="18" t="s">
        <v>273</v>
      </c>
      <c r="C87" s="21" t="s">
        <v>323</v>
      </c>
      <c r="D87" s="11" t="s">
        <v>131</v>
      </c>
      <c r="E87" s="24" t="e" vm="5">
        <v>#VALUE!</v>
      </c>
      <c r="F87" s="24" t="str">
        <f ca="1">VLOOKUP(RANDBETWEEN(1,5),EstadoVia!A:C,3,0)</f>
        <v>Malo</v>
      </c>
      <c r="G87" s="9">
        <v>6.2455552024137271</v>
      </c>
      <c r="H87" s="9">
        <v>-70.900989795778997</v>
      </c>
      <c r="I87" s="9" t="str">
        <f ca="1">VLOOKUP(RANDBETWEEN(1,6),TipoVia!A:C,3,0)</f>
        <v>Carretera nacional</v>
      </c>
      <c r="J87" s="9" t="str">
        <f ca="1">VLOOKUP(RANDBETWEEN(1,6),TipoIntersección!A:C,3,0)</f>
        <v>Intercambiador vial</v>
      </c>
      <c r="K87" s="9" t="s">
        <v>132</v>
      </c>
      <c r="L87" s="9">
        <f ca="1">VLOOKUP(RANDBETWEEN(1,6),Limitevelocidad!A:C,3,0)</f>
        <v>40</v>
      </c>
      <c r="M87" s="10">
        <f t="shared" ca="1" si="1"/>
        <v>30985</v>
      </c>
    </row>
    <row r="88" spans="1:13" ht="15.75" thickBot="1" x14ac:dyDescent="0.3">
      <c r="A88" s="12">
        <v>87</v>
      </c>
      <c r="B88" s="17" t="s">
        <v>274</v>
      </c>
      <c r="C88" s="20" t="s">
        <v>324</v>
      </c>
      <c r="D88" s="15" t="s">
        <v>233</v>
      </c>
      <c r="E88" s="23" t="e" vm="2">
        <v>#VALUE!</v>
      </c>
      <c r="F88" s="23" t="str">
        <f ca="1">VLOOKUP(RANDBETWEEN(1,5),EstadoVia!A:C,3,0)</f>
        <v>Excelente</v>
      </c>
      <c r="G88" s="13">
        <v>5.3174597505593626</v>
      </c>
      <c r="H88" s="13">
        <v>-71.266738720371421</v>
      </c>
      <c r="I88" s="13" t="str">
        <f ca="1">VLOOKUP(RANDBETWEEN(1,6),TipoVia!A:C,3,0)</f>
        <v>Colectora</v>
      </c>
      <c r="J88" s="13" t="str">
        <f ca="1">VLOOKUP(RANDBETWEEN(1,6),TipoIntersección!A:C,3,0)</f>
        <v>Paso a desnivel</v>
      </c>
      <c r="K88" s="13" t="s">
        <v>121</v>
      </c>
      <c r="L88" s="13">
        <f ca="1">VLOOKUP(RANDBETWEEN(1,6),Limitevelocidad!A:C,3,0)</f>
        <v>60</v>
      </c>
      <c r="M88" s="14">
        <f t="shared" ca="1" si="1"/>
        <v>10747</v>
      </c>
    </row>
    <row r="89" spans="1:13" ht="15.75" thickBot="1" x14ac:dyDescent="0.3">
      <c r="A89" s="8">
        <v>88</v>
      </c>
      <c r="B89" s="18" t="s">
        <v>275</v>
      </c>
      <c r="C89" s="21" t="s">
        <v>325</v>
      </c>
      <c r="D89" s="11" t="s">
        <v>131</v>
      </c>
      <c r="E89" s="24" t="e" vm="5">
        <v>#VALUE!</v>
      </c>
      <c r="F89" s="24" t="str">
        <f ca="1">VLOOKUP(RANDBETWEEN(1,5),EstadoVia!A:C,3,0)</f>
        <v>Excelente</v>
      </c>
      <c r="G89" s="9">
        <v>6.4526181196105892</v>
      </c>
      <c r="H89" s="9">
        <v>-72.584430667036557</v>
      </c>
      <c r="I89" s="9" t="str">
        <f ca="1">VLOOKUP(RANDBETWEEN(1,6),TipoVia!A:C,3,0)</f>
        <v>Local</v>
      </c>
      <c r="J89" s="9" t="str">
        <f ca="1">VLOOKUP(RANDBETWEEN(1,6),TipoIntersección!A:C,3,0)</f>
        <v>Cruce en X</v>
      </c>
      <c r="K89" s="9" t="s">
        <v>132</v>
      </c>
      <c r="L89" s="9">
        <f ca="1">VLOOKUP(RANDBETWEEN(1,6),Limitevelocidad!A:C,3,0)</f>
        <v>100</v>
      </c>
      <c r="M89" s="10">
        <f t="shared" ca="1" si="1"/>
        <v>8716</v>
      </c>
    </row>
    <row r="90" spans="1:13" ht="15.75" thickBot="1" x14ac:dyDescent="0.3">
      <c r="A90" s="12">
        <v>89</v>
      </c>
      <c r="B90" s="17" t="s">
        <v>276</v>
      </c>
      <c r="C90" s="20" t="s">
        <v>326</v>
      </c>
      <c r="D90" s="15" t="s">
        <v>229</v>
      </c>
      <c r="E90" s="23" t="e" vm="12">
        <v>#VALUE!</v>
      </c>
      <c r="F90" s="23" t="str">
        <f ca="1">VLOOKUP(RANDBETWEEN(1,5),EstadoVia!A:C,3,0)</f>
        <v>Regular</v>
      </c>
      <c r="G90" s="13">
        <v>4.3085173965947741</v>
      </c>
      <c r="H90" s="13">
        <v>-72.543777109005021</v>
      </c>
      <c r="I90" s="13" t="str">
        <f ca="1">VLOOKUP(RANDBETWEEN(1,6),TipoVia!A:C,3,0)</f>
        <v>Local</v>
      </c>
      <c r="J90" s="13" t="str">
        <f ca="1">VLOOKUP(RANDBETWEEN(1,6),TipoIntersección!A:C,3,0)</f>
        <v>Retorno</v>
      </c>
      <c r="K90" s="13" t="s">
        <v>132</v>
      </c>
      <c r="L90" s="13">
        <f ca="1">VLOOKUP(RANDBETWEEN(1,6),Limitevelocidad!A:C,3,0)</f>
        <v>30</v>
      </c>
      <c r="M90" s="14">
        <f t="shared" ca="1" si="1"/>
        <v>49152</v>
      </c>
    </row>
    <row r="91" spans="1:13" ht="15.75" thickBot="1" x14ac:dyDescent="0.3">
      <c r="A91" s="8">
        <v>90</v>
      </c>
      <c r="B91" s="18" t="s">
        <v>277</v>
      </c>
      <c r="C91" s="21" t="s">
        <v>327</v>
      </c>
      <c r="D91" s="11" t="s">
        <v>129</v>
      </c>
      <c r="E91" s="24" t="e" vm="6">
        <v>#VALUE!</v>
      </c>
      <c r="F91" s="24" t="str">
        <f ca="1">VLOOKUP(RANDBETWEEN(1,5),EstadoVia!A:C,3,0)</f>
        <v>Regular</v>
      </c>
      <c r="G91" s="9">
        <v>4.4426651346540789</v>
      </c>
      <c r="H91" s="9">
        <v>-70.653242007029576</v>
      </c>
      <c r="I91" s="9" t="str">
        <f ca="1">VLOOKUP(RANDBETWEEN(1,6),TipoVia!A:C,3,0)</f>
        <v>Avenida</v>
      </c>
      <c r="J91" s="9" t="str">
        <f ca="1">VLOOKUP(RANDBETWEEN(1,6),TipoIntersección!A:C,3,0)</f>
        <v>Intercambiador vial</v>
      </c>
      <c r="K91" s="9" t="s">
        <v>132</v>
      </c>
      <c r="L91" s="9">
        <f ca="1">VLOOKUP(RANDBETWEEN(1,6),Limitevelocidad!A:C,3,0)</f>
        <v>30</v>
      </c>
      <c r="M91" s="10">
        <f t="shared" ca="1" si="1"/>
        <v>23462</v>
      </c>
    </row>
    <row r="92" spans="1:13" ht="15.75" thickBot="1" x14ac:dyDescent="0.3">
      <c r="A92" s="12">
        <v>91</v>
      </c>
      <c r="B92" s="17" t="s">
        <v>278</v>
      </c>
      <c r="C92" s="20" t="s">
        <v>328</v>
      </c>
      <c r="D92" s="15" t="s">
        <v>123</v>
      </c>
      <c r="E92" s="23" t="e" vm="7">
        <v>#VALUE!</v>
      </c>
      <c r="F92" s="23" t="str">
        <f ca="1">VLOOKUP(RANDBETWEEN(1,5),EstadoVia!A:C,3,0)</f>
        <v>Regular</v>
      </c>
      <c r="G92" s="13">
        <v>4.1583952001798741</v>
      </c>
      <c r="H92" s="13">
        <v>-72.665177376230275</v>
      </c>
      <c r="I92" s="13" t="str">
        <f ca="1">VLOOKUP(RANDBETWEEN(1,6),TipoVia!A:C,3,0)</f>
        <v>Carretera nacional</v>
      </c>
      <c r="J92" s="13" t="str">
        <f ca="1">VLOOKUP(RANDBETWEEN(1,6),TipoIntersección!A:C,3,0)</f>
        <v>Intercambiador vial</v>
      </c>
      <c r="K92" s="13" t="s">
        <v>132</v>
      </c>
      <c r="L92" s="13">
        <f ca="1">VLOOKUP(RANDBETWEEN(1,6),Limitevelocidad!A:C,3,0)</f>
        <v>100</v>
      </c>
      <c r="M92" s="14">
        <f t="shared" ca="1" si="1"/>
        <v>34498</v>
      </c>
    </row>
    <row r="93" spans="1:13" ht="15.75" thickBot="1" x14ac:dyDescent="0.3">
      <c r="A93" s="8">
        <v>92</v>
      </c>
      <c r="B93" s="18" t="s">
        <v>279</v>
      </c>
      <c r="C93" s="21" t="s">
        <v>329</v>
      </c>
      <c r="D93" s="11" t="s">
        <v>234</v>
      </c>
      <c r="E93" s="24" t="e" vm="9">
        <v>#VALUE!</v>
      </c>
      <c r="F93" s="24" t="str">
        <f ca="1">VLOOKUP(RANDBETWEEN(1,5),EstadoVia!A:C,3,0)</f>
        <v>Regular</v>
      </c>
      <c r="G93" s="9">
        <v>5.9272192935655532</v>
      </c>
      <c r="H93" s="9">
        <v>-71.383000333717561</v>
      </c>
      <c r="I93" s="9" t="str">
        <f ca="1">VLOOKUP(RANDBETWEEN(1,6),TipoVia!A:C,3,0)</f>
        <v>Arterial</v>
      </c>
      <c r="J93" s="9" t="str">
        <f ca="1">VLOOKUP(RANDBETWEEN(1,6),TipoIntersección!A:C,3,0)</f>
        <v>Retorno</v>
      </c>
      <c r="K93" s="9" t="s">
        <v>132</v>
      </c>
      <c r="L93" s="9">
        <f ca="1">VLOOKUP(RANDBETWEEN(1,6),Limitevelocidad!A:C,3,0)</f>
        <v>60</v>
      </c>
      <c r="M93" s="10">
        <f t="shared" ca="1" si="1"/>
        <v>19157</v>
      </c>
    </row>
    <row r="94" spans="1:13" ht="15.75" thickBot="1" x14ac:dyDescent="0.3">
      <c r="A94" s="12">
        <v>93</v>
      </c>
      <c r="B94" s="17" t="s">
        <v>280</v>
      </c>
      <c r="C94" s="20" t="s">
        <v>330</v>
      </c>
      <c r="D94" s="15" t="s">
        <v>230</v>
      </c>
      <c r="E94" s="23" t="e" vm="1">
        <v>#VALUE!</v>
      </c>
      <c r="F94" s="23" t="str">
        <f ca="1">VLOOKUP(RANDBETWEEN(1,5),EstadoVia!A:C,3,0)</f>
        <v>En mantenimiento</v>
      </c>
      <c r="G94" s="13">
        <v>4.2525561126837248</v>
      </c>
      <c r="H94" s="13">
        <v>-70.75700273911238</v>
      </c>
      <c r="I94" s="13" t="str">
        <f ca="1">VLOOKUP(RANDBETWEEN(1,6),TipoVia!A:C,3,0)</f>
        <v>Carretera nacional</v>
      </c>
      <c r="J94" s="13" t="str">
        <f ca="1">VLOOKUP(RANDBETWEEN(1,6),TipoIntersección!A:C,3,0)</f>
        <v>Cruce en X</v>
      </c>
      <c r="K94" s="13" t="s">
        <v>132</v>
      </c>
      <c r="L94" s="13">
        <f ca="1">VLOOKUP(RANDBETWEEN(1,6),Limitevelocidad!A:C,3,0)</f>
        <v>60</v>
      </c>
      <c r="M94" s="14">
        <f t="shared" ca="1" si="1"/>
        <v>16349</v>
      </c>
    </row>
    <row r="95" spans="1:13" ht="15.75" thickBot="1" x14ac:dyDescent="0.3">
      <c r="A95" s="8">
        <v>94</v>
      </c>
      <c r="B95" s="18" t="s">
        <v>281</v>
      </c>
      <c r="C95" s="21" t="s">
        <v>331</v>
      </c>
      <c r="D95" s="11" t="s">
        <v>230</v>
      </c>
      <c r="E95" s="24" t="e" vm="1">
        <v>#VALUE!</v>
      </c>
      <c r="F95" s="24" t="str">
        <f ca="1">VLOOKUP(RANDBETWEEN(1,5),EstadoVia!A:C,3,0)</f>
        <v>Bueno</v>
      </c>
      <c r="G95" s="9">
        <v>4.4516559093714845</v>
      </c>
      <c r="H95" s="9">
        <v>-72.018471800440665</v>
      </c>
      <c r="I95" s="9" t="str">
        <f ca="1">VLOOKUP(RANDBETWEEN(1,6),TipoVia!A:C,3,0)</f>
        <v>Carretera nacional</v>
      </c>
      <c r="J95" s="9" t="str">
        <f ca="1">VLOOKUP(RANDBETWEEN(1,6),TipoIntersección!A:C,3,0)</f>
        <v>Retorno</v>
      </c>
      <c r="K95" s="9" t="s">
        <v>132</v>
      </c>
      <c r="L95" s="9">
        <f ca="1">VLOOKUP(RANDBETWEEN(1,6),Limitevelocidad!A:C,3,0)</f>
        <v>30</v>
      </c>
      <c r="M95" s="10">
        <f t="shared" ca="1" si="1"/>
        <v>28819</v>
      </c>
    </row>
    <row r="96" spans="1:13" ht="15.75" thickBot="1" x14ac:dyDescent="0.3">
      <c r="A96" s="12">
        <v>95</v>
      </c>
      <c r="B96" s="17" t="s">
        <v>282</v>
      </c>
      <c r="C96" s="20" t="s">
        <v>332</v>
      </c>
      <c r="D96" s="15" t="s">
        <v>234</v>
      </c>
      <c r="E96" s="23" t="e" vm="9">
        <v>#VALUE!</v>
      </c>
      <c r="F96" s="23" t="str">
        <f ca="1">VLOOKUP(RANDBETWEEN(1,5),EstadoVia!A:C,3,0)</f>
        <v>Malo</v>
      </c>
      <c r="G96" s="13">
        <v>6.0410927383779125</v>
      </c>
      <c r="H96" s="13">
        <v>-71.854086494581566</v>
      </c>
      <c r="I96" s="13" t="str">
        <f ca="1">VLOOKUP(RANDBETWEEN(1,6),TipoVia!A:C,3,0)</f>
        <v>Carretera nacional</v>
      </c>
      <c r="J96" s="13" t="str">
        <f ca="1">VLOOKUP(RANDBETWEEN(1,6),TipoIntersección!A:C,3,0)</f>
        <v>Cruce en T</v>
      </c>
      <c r="K96" s="13" t="s">
        <v>121</v>
      </c>
      <c r="L96" s="13">
        <f ca="1">VLOOKUP(RANDBETWEEN(1,6),Limitevelocidad!A:C,3,0)</f>
        <v>100</v>
      </c>
      <c r="M96" s="14">
        <f t="shared" ca="1" si="1"/>
        <v>19721</v>
      </c>
    </row>
    <row r="97" spans="1:13" ht="15.75" thickBot="1" x14ac:dyDescent="0.3">
      <c r="A97" s="8">
        <v>96</v>
      </c>
      <c r="B97" s="18" t="s">
        <v>283</v>
      </c>
      <c r="C97" s="21" t="s">
        <v>333</v>
      </c>
      <c r="D97" s="11" t="s">
        <v>119</v>
      </c>
      <c r="E97" s="24" t="e" vm="8">
        <v>#VALUE!</v>
      </c>
      <c r="F97" s="24" t="str">
        <f ca="1">VLOOKUP(RANDBETWEEN(1,5),EstadoVia!A:C,3,0)</f>
        <v>Bueno</v>
      </c>
      <c r="G97" s="9">
        <v>6.4468401864652298</v>
      </c>
      <c r="H97" s="9">
        <v>-73.413574641929031</v>
      </c>
      <c r="I97" s="9" t="str">
        <f ca="1">VLOOKUP(RANDBETWEEN(1,6),TipoVia!A:C,3,0)</f>
        <v>Arterial</v>
      </c>
      <c r="J97" s="9" t="str">
        <f ca="1">VLOOKUP(RANDBETWEEN(1,6),TipoIntersección!A:C,3,0)</f>
        <v>Glorieta</v>
      </c>
      <c r="K97" s="9" t="s">
        <v>132</v>
      </c>
      <c r="L97" s="9">
        <f ca="1">VLOOKUP(RANDBETWEEN(1,6),Limitevelocidad!A:C,3,0)</f>
        <v>100</v>
      </c>
      <c r="M97" s="10">
        <f t="shared" ca="1" si="1"/>
        <v>28198</v>
      </c>
    </row>
    <row r="98" spans="1:13" ht="15.75" thickBot="1" x14ac:dyDescent="0.3">
      <c r="A98" s="12">
        <v>97</v>
      </c>
      <c r="B98" s="17" t="s">
        <v>284</v>
      </c>
      <c r="C98" s="20" t="s">
        <v>334</v>
      </c>
      <c r="D98" s="15" t="s">
        <v>129</v>
      </c>
      <c r="E98" s="23" t="e" vm="6">
        <v>#VALUE!</v>
      </c>
      <c r="F98" s="23" t="str">
        <f ca="1">VLOOKUP(RANDBETWEEN(1,5),EstadoVia!A:C,3,0)</f>
        <v>Bueno</v>
      </c>
      <c r="G98" s="13">
        <v>6.0471972671004011</v>
      </c>
      <c r="H98" s="13">
        <v>-72.559817726182402</v>
      </c>
      <c r="I98" s="13" t="str">
        <f ca="1">VLOOKUP(RANDBETWEEN(1,6),TipoVia!A:C,3,0)</f>
        <v>Arterial</v>
      </c>
      <c r="J98" s="13" t="str">
        <f ca="1">VLOOKUP(RANDBETWEEN(1,6),TipoIntersección!A:C,3,0)</f>
        <v>Cruce en X</v>
      </c>
      <c r="K98" s="13" t="s">
        <v>121</v>
      </c>
      <c r="L98" s="13">
        <f ca="1">VLOOKUP(RANDBETWEEN(1,6),Limitevelocidad!A:C,3,0)</f>
        <v>100</v>
      </c>
      <c r="M98" s="14">
        <f t="shared" ca="1" si="1"/>
        <v>14455</v>
      </c>
    </row>
    <row r="99" spans="1:13" ht="15.75" thickBot="1" x14ac:dyDescent="0.3">
      <c r="A99" s="8">
        <v>98</v>
      </c>
      <c r="B99" s="18" t="s">
        <v>285</v>
      </c>
      <c r="C99" s="21" t="s">
        <v>335</v>
      </c>
      <c r="D99" s="11" t="s">
        <v>231</v>
      </c>
      <c r="E99" s="24" t="e" vm="10">
        <v>#VALUE!</v>
      </c>
      <c r="F99" s="24" t="str">
        <f ca="1">VLOOKUP(RANDBETWEEN(1,5),EstadoVia!A:C,3,0)</f>
        <v>Regular</v>
      </c>
      <c r="G99" s="9">
        <v>4.6078718191897714</v>
      </c>
      <c r="H99" s="9">
        <v>-72.745031903948487</v>
      </c>
      <c r="I99" s="9" t="str">
        <f ca="1">VLOOKUP(RANDBETWEEN(1,6),TipoVia!A:C,3,0)</f>
        <v>Colectora</v>
      </c>
      <c r="J99" s="9" t="str">
        <f ca="1">VLOOKUP(RANDBETWEEN(1,6),TipoIntersección!A:C,3,0)</f>
        <v>Intercambiador vial</v>
      </c>
      <c r="K99" s="9" t="s">
        <v>132</v>
      </c>
      <c r="L99" s="9">
        <f ca="1">VLOOKUP(RANDBETWEEN(1,6),Limitevelocidad!A:C,3,0)</f>
        <v>30</v>
      </c>
      <c r="M99" s="10">
        <f t="shared" ca="1" si="1"/>
        <v>26767</v>
      </c>
    </row>
    <row r="100" spans="1:13" ht="15.75" thickBot="1" x14ac:dyDescent="0.3">
      <c r="A100" s="12">
        <v>99</v>
      </c>
      <c r="B100" s="17" t="s">
        <v>286</v>
      </c>
      <c r="C100" s="20" t="s">
        <v>336</v>
      </c>
      <c r="D100" s="15" t="s">
        <v>229</v>
      </c>
      <c r="E100" s="23" t="e" vm="12">
        <v>#VALUE!</v>
      </c>
      <c r="F100" s="23" t="str">
        <f ca="1">VLOOKUP(RANDBETWEEN(1,5),EstadoVia!A:C,3,0)</f>
        <v>En mantenimiento</v>
      </c>
      <c r="G100" s="13">
        <v>5.8440737610499971</v>
      </c>
      <c r="H100" s="13">
        <v>-72.747406277514841</v>
      </c>
      <c r="I100" s="13" t="str">
        <f ca="1">VLOOKUP(RANDBETWEEN(1,6),TipoVia!A:C,3,0)</f>
        <v>Avenida</v>
      </c>
      <c r="J100" s="13" t="str">
        <f ca="1">VLOOKUP(RANDBETWEEN(1,6),TipoIntersección!A:C,3,0)</f>
        <v>Intercambiador vial</v>
      </c>
      <c r="K100" s="13" t="s">
        <v>121</v>
      </c>
      <c r="L100" s="13">
        <f ca="1">VLOOKUP(RANDBETWEEN(1,6),Limitevelocidad!A:C,3,0)</f>
        <v>80</v>
      </c>
      <c r="M100" s="14">
        <f t="shared" ca="1" si="1"/>
        <v>13015</v>
      </c>
    </row>
    <row r="101" spans="1:13" ht="15.75" thickBot="1" x14ac:dyDescent="0.3">
      <c r="A101" s="8">
        <v>100</v>
      </c>
      <c r="B101" s="18" t="s">
        <v>287</v>
      </c>
      <c r="C101" s="21" t="s">
        <v>337</v>
      </c>
      <c r="D101" s="11" t="s">
        <v>235</v>
      </c>
      <c r="E101" s="24" t="e" vm="11">
        <v>#VALUE!</v>
      </c>
      <c r="F101" s="24" t="str">
        <f ca="1">VLOOKUP(RANDBETWEEN(1,5),EstadoVia!A:C,3,0)</f>
        <v>Bueno</v>
      </c>
      <c r="G101" s="9">
        <v>5.4823194074579433</v>
      </c>
      <c r="H101" s="9">
        <v>-73.336092632724316</v>
      </c>
      <c r="I101" s="9" t="str">
        <f ca="1">VLOOKUP(RANDBETWEEN(1,6),TipoVia!A:C,3,0)</f>
        <v>Autopista</v>
      </c>
      <c r="J101" s="9" t="str">
        <f ca="1">VLOOKUP(RANDBETWEEN(1,6),TipoIntersección!A:C,3,0)</f>
        <v>Intercambiador vial</v>
      </c>
      <c r="K101" s="9" t="s">
        <v>132</v>
      </c>
      <c r="L101" s="9">
        <f ca="1">VLOOKUP(RANDBETWEEN(1,6),Limitevelocidad!A:C,3,0)</f>
        <v>60</v>
      </c>
      <c r="M101" s="10">
        <f t="shared" ca="1" si="1"/>
        <v>8246</v>
      </c>
    </row>
  </sheetData>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6F71F-6C5C-4E79-BFCC-CD2738B033B8}">
  <dimension ref="A1:C6"/>
  <sheetViews>
    <sheetView workbookViewId="0">
      <selection activeCell="A7" sqref="A7"/>
    </sheetView>
  </sheetViews>
  <sheetFormatPr baseColWidth="10" defaultRowHeight="15" x14ac:dyDescent="0.25"/>
  <cols>
    <col min="2" max="2" width="15.42578125" bestFit="1" customWidth="1"/>
  </cols>
  <sheetData>
    <row r="1" spans="1:3" x14ac:dyDescent="0.25">
      <c r="A1" t="s">
        <v>270</v>
      </c>
      <c r="B1" t="s">
        <v>538</v>
      </c>
      <c r="C1" t="s">
        <v>4</v>
      </c>
    </row>
    <row r="2" spans="1:3" x14ac:dyDescent="0.25">
      <c r="A2">
        <v>1</v>
      </c>
      <c r="B2" t="s">
        <v>539</v>
      </c>
      <c r="C2" t="s">
        <v>540</v>
      </c>
    </row>
    <row r="3" spans="1:3" x14ac:dyDescent="0.25">
      <c r="A3">
        <v>2</v>
      </c>
      <c r="B3" t="s">
        <v>541</v>
      </c>
      <c r="C3" t="s">
        <v>13</v>
      </c>
    </row>
    <row r="4" spans="1:3" x14ac:dyDescent="0.25">
      <c r="A4">
        <v>3</v>
      </c>
      <c r="B4" t="s">
        <v>542</v>
      </c>
      <c r="C4" t="s">
        <v>18</v>
      </c>
    </row>
    <row r="5" spans="1:3" x14ac:dyDescent="0.25">
      <c r="A5">
        <v>4</v>
      </c>
      <c r="B5" t="s">
        <v>543</v>
      </c>
      <c r="C5" t="s">
        <v>545</v>
      </c>
    </row>
    <row r="6" spans="1:3" x14ac:dyDescent="0.25">
      <c r="A6">
        <v>5</v>
      </c>
      <c r="B6" t="s">
        <v>544</v>
      </c>
      <c r="C6" t="s">
        <v>627</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BCA71-1797-445C-96D9-F70E4AD5DBAA}">
  <dimension ref="A1:C6"/>
  <sheetViews>
    <sheetView workbookViewId="0">
      <selection activeCell="A7" sqref="A7"/>
    </sheetView>
  </sheetViews>
  <sheetFormatPr baseColWidth="10" defaultRowHeight="15" x14ac:dyDescent="0.25"/>
  <cols>
    <col min="2" max="2" width="20.42578125" customWidth="1"/>
  </cols>
  <sheetData>
    <row r="1" spans="1:3" x14ac:dyDescent="0.25">
      <c r="A1" s="27" t="s">
        <v>270</v>
      </c>
      <c r="B1" s="27" t="s">
        <v>560</v>
      </c>
      <c r="C1" s="27" t="s">
        <v>561</v>
      </c>
    </row>
    <row r="2" spans="1:3" x14ac:dyDescent="0.25">
      <c r="A2" s="28">
        <v>1</v>
      </c>
      <c r="B2" s="28" t="s">
        <v>562</v>
      </c>
      <c r="C2" s="28" t="s">
        <v>563</v>
      </c>
    </row>
    <row r="3" spans="1:3" x14ac:dyDescent="0.25">
      <c r="A3" s="28">
        <v>2</v>
      </c>
      <c r="B3" s="28" t="s">
        <v>564</v>
      </c>
      <c r="C3" s="28" t="s">
        <v>565</v>
      </c>
    </row>
    <row r="4" spans="1:3" x14ac:dyDescent="0.25">
      <c r="A4" s="28">
        <v>3</v>
      </c>
      <c r="B4" s="28" t="s">
        <v>566</v>
      </c>
      <c r="C4" s="28" t="s">
        <v>567</v>
      </c>
    </row>
    <row r="5" spans="1:3" x14ac:dyDescent="0.25">
      <c r="A5" s="28">
        <v>4</v>
      </c>
      <c r="B5" s="28" t="s">
        <v>568</v>
      </c>
      <c r="C5" s="28" t="s">
        <v>569</v>
      </c>
    </row>
    <row r="6" spans="1:3" ht="45" x14ac:dyDescent="0.25">
      <c r="A6" s="28">
        <v>5</v>
      </c>
      <c r="B6" s="28" t="s">
        <v>570</v>
      </c>
      <c r="C6" s="28" t="s">
        <v>571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0000F-3659-4577-A73F-7FAE51F67B7B}">
  <dimension ref="A1:C7"/>
  <sheetViews>
    <sheetView workbookViewId="0">
      <selection activeCell="A8" sqref="A8:XFD9"/>
    </sheetView>
  </sheetViews>
  <sheetFormatPr baseColWidth="10" defaultRowHeight="15" x14ac:dyDescent="0.25"/>
  <sheetData>
    <row r="1" spans="1:3" ht="15.75" thickBot="1" x14ac:dyDescent="0.3">
      <c r="A1" s="5" t="s">
        <v>270</v>
      </c>
      <c r="B1" s="16" t="s">
        <v>572</v>
      </c>
      <c r="C1" s="19" t="s">
        <v>573</v>
      </c>
    </row>
    <row r="2" spans="1:3" ht="15.75" thickBot="1" x14ac:dyDescent="0.3">
      <c r="A2" s="12">
        <v>1</v>
      </c>
      <c r="B2" s="17" t="s">
        <v>574</v>
      </c>
      <c r="C2" s="30" t="s">
        <v>124</v>
      </c>
    </row>
    <row r="3" spans="1:3" ht="15.75" thickBot="1" x14ac:dyDescent="0.3">
      <c r="A3" s="8">
        <f>A2+1</f>
        <v>2</v>
      </c>
      <c r="B3" s="18" t="s">
        <v>575</v>
      </c>
      <c r="C3" s="31" t="s">
        <v>127</v>
      </c>
    </row>
    <row r="4" spans="1:3" ht="15.75" thickBot="1" x14ac:dyDescent="0.3">
      <c r="A4" s="12">
        <f t="shared" ref="A4:A7" si="0">A3+1</f>
        <v>3</v>
      </c>
      <c r="B4" s="17" t="s">
        <v>576</v>
      </c>
      <c r="C4" s="30" t="s">
        <v>120</v>
      </c>
    </row>
    <row r="5" spans="1:3" ht="15.75" thickBot="1" x14ac:dyDescent="0.3">
      <c r="A5" s="8">
        <f t="shared" si="0"/>
        <v>4</v>
      </c>
      <c r="B5" s="18" t="s">
        <v>577</v>
      </c>
      <c r="C5" s="31" t="s">
        <v>578</v>
      </c>
    </row>
    <row r="6" spans="1:3" ht="15.75" thickBot="1" x14ac:dyDescent="0.3">
      <c r="A6" s="12">
        <f t="shared" si="0"/>
        <v>5</v>
      </c>
      <c r="B6" s="17" t="s">
        <v>579</v>
      </c>
      <c r="C6" s="30" t="s">
        <v>580</v>
      </c>
    </row>
    <row r="7" spans="1:3" ht="15.75" thickBot="1" x14ac:dyDescent="0.3">
      <c r="A7" s="8">
        <f t="shared" si="0"/>
        <v>6</v>
      </c>
      <c r="B7" s="18" t="s">
        <v>581</v>
      </c>
      <c r="C7" s="31" t="s">
        <v>582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17358-F9D9-49DA-9C67-1394A5A2EEF7}">
  <dimension ref="A1:C9"/>
  <sheetViews>
    <sheetView workbookViewId="0">
      <selection sqref="A1:C9"/>
    </sheetView>
  </sheetViews>
  <sheetFormatPr baseColWidth="10" defaultRowHeight="15" x14ac:dyDescent="0.25"/>
  <cols>
    <col min="1" max="1" width="10.7109375" bestFit="1" customWidth="1"/>
    <col min="2" max="2" width="12.85546875" customWidth="1"/>
  </cols>
  <sheetData>
    <row r="1" spans="1:3" ht="15.75" thickBot="1" x14ac:dyDescent="0.3">
      <c r="A1" s="5" t="s">
        <v>270</v>
      </c>
      <c r="B1" s="16" t="s">
        <v>583</v>
      </c>
      <c r="C1" s="19" t="s">
        <v>584</v>
      </c>
    </row>
    <row r="2" spans="1:3" ht="15.75" thickBot="1" x14ac:dyDescent="0.3">
      <c r="A2" s="12">
        <v>1</v>
      </c>
      <c r="B2" s="17" t="s">
        <v>585</v>
      </c>
      <c r="C2" s="30" t="s">
        <v>586</v>
      </c>
    </row>
    <row r="3" spans="1:3" ht="15.75" thickBot="1" x14ac:dyDescent="0.3">
      <c r="A3" s="8">
        <f>A2+1</f>
        <v>2</v>
      </c>
      <c r="B3" s="18" t="s">
        <v>587</v>
      </c>
      <c r="C3" s="31" t="s">
        <v>588</v>
      </c>
    </row>
    <row r="4" spans="1:3" ht="15.75" thickBot="1" x14ac:dyDescent="0.3">
      <c r="A4" s="12">
        <f t="shared" ref="A4:A9" si="0">A3+1</f>
        <v>3</v>
      </c>
      <c r="B4" s="17" t="s">
        <v>589</v>
      </c>
      <c r="C4" s="30" t="s">
        <v>590</v>
      </c>
    </row>
    <row r="5" spans="1:3" ht="15.75" thickBot="1" x14ac:dyDescent="0.3">
      <c r="A5" s="8">
        <f t="shared" si="0"/>
        <v>4</v>
      </c>
      <c r="B5" s="18" t="s">
        <v>591</v>
      </c>
      <c r="C5" s="31" t="s">
        <v>592</v>
      </c>
    </row>
    <row r="6" spans="1:3" ht="15.75" thickBot="1" x14ac:dyDescent="0.3">
      <c r="A6" s="12">
        <f t="shared" si="0"/>
        <v>5</v>
      </c>
      <c r="B6" s="17" t="s">
        <v>593</v>
      </c>
      <c r="C6" s="30" t="s">
        <v>594</v>
      </c>
    </row>
    <row r="7" spans="1:3" ht="15.75" thickBot="1" x14ac:dyDescent="0.3">
      <c r="A7" s="8">
        <f t="shared" si="0"/>
        <v>6</v>
      </c>
      <c r="B7" s="18" t="s">
        <v>595</v>
      </c>
      <c r="C7" s="31" t="s">
        <v>596</v>
      </c>
    </row>
    <row r="8" spans="1:3" ht="15.75" thickBot="1" x14ac:dyDescent="0.3">
      <c r="A8" s="12">
        <f t="shared" si="0"/>
        <v>7</v>
      </c>
      <c r="B8" s="17" t="s">
        <v>597</v>
      </c>
      <c r="C8" s="30" t="s">
        <v>598</v>
      </c>
    </row>
    <row r="9" spans="1:3" ht="15.75" thickBot="1" x14ac:dyDescent="0.3">
      <c r="A9" s="8">
        <f t="shared" si="0"/>
        <v>8</v>
      </c>
      <c r="B9" s="18" t="s">
        <v>599</v>
      </c>
      <c r="C9" s="31" t="s">
        <v>600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9EBA3-79B6-4EDB-B5AD-12102BE75B6A}">
  <dimension ref="A1:C9"/>
  <sheetViews>
    <sheetView workbookViewId="0">
      <selection activeCell="B2" sqref="B2"/>
    </sheetView>
  </sheetViews>
  <sheetFormatPr baseColWidth="10" defaultRowHeight="15" x14ac:dyDescent="0.25"/>
  <cols>
    <col min="2" max="2" width="18.28515625" bestFit="1" customWidth="1"/>
    <col min="3" max="3" width="16.140625" bestFit="1" customWidth="1"/>
  </cols>
  <sheetData>
    <row r="1" spans="1:3" ht="15.75" thickBot="1" x14ac:dyDescent="0.3">
      <c r="A1" s="5" t="s">
        <v>270</v>
      </c>
      <c r="B1" s="16" t="s">
        <v>601</v>
      </c>
      <c r="C1" s="19" t="s">
        <v>584</v>
      </c>
    </row>
    <row r="2" spans="1:3" ht="15.75" thickBot="1" x14ac:dyDescent="0.3">
      <c r="A2" s="12">
        <v>1</v>
      </c>
      <c r="B2" s="17" t="s">
        <v>602</v>
      </c>
      <c r="C2" s="30" t="s">
        <v>603</v>
      </c>
    </row>
    <row r="3" spans="1:3" ht="15.75" thickBot="1" x14ac:dyDescent="0.3">
      <c r="A3" s="8">
        <f>A2+1</f>
        <v>2</v>
      </c>
      <c r="B3" s="18" t="s">
        <v>604</v>
      </c>
      <c r="C3" s="31" t="s">
        <v>605</v>
      </c>
    </row>
    <row r="4" spans="1:3" ht="15.75" thickBot="1" x14ac:dyDescent="0.3">
      <c r="A4" s="12">
        <f t="shared" ref="A4:A7" si="0">A3+1</f>
        <v>3</v>
      </c>
      <c r="B4" s="17" t="s">
        <v>606</v>
      </c>
      <c r="C4" s="30" t="s">
        <v>607</v>
      </c>
    </row>
    <row r="5" spans="1:3" ht="15.75" thickBot="1" x14ac:dyDescent="0.3">
      <c r="A5" s="8">
        <f t="shared" si="0"/>
        <v>4</v>
      </c>
      <c r="B5" s="18" t="s">
        <v>608</v>
      </c>
      <c r="C5" s="31" t="s">
        <v>609</v>
      </c>
    </row>
    <row r="6" spans="1:3" ht="15.75" thickBot="1" x14ac:dyDescent="0.3">
      <c r="A6" s="12">
        <f t="shared" si="0"/>
        <v>5</v>
      </c>
      <c r="B6" s="17" t="s">
        <v>610</v>
      </c>
      <c r="C6" s="30" t="s">
        <v>611</v>
      </c>
    </row>
    <row r="7" spans="1:3" ht="15.75" thickBot="1" x14ac:dyDescent="0.3">
      <c r="A7" s="8">
        <f t="shared" si="0"/>
        <v>6</v>
      </c>
      <c r="B7" s="18" t="s">
        <v>612</v>
      </c>
      <c r="C7" s="31" t="s">
        <v>613</v>
      </c>
    </row>
    <row r="8" spans="1:3" x14ac:dyDescent="0.25">
      <c r="A8" s="28"/>
    </row>
    <row r="9" spans="1:3" x14ac:dyDescent="0.25">
      <c r="A9" s="2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98E9E-9291-4202-B18C-B5889DEF21C1}">
  <dimension ref="A1:C7"/>
  <sheetViews>
    <sheetView workbookViewId="0">
      <selection sqref="A1:C7"/>
    </sheetView>
  </sheetViews>
  <sheetFormatPr baseColWidth="10" defaultRowHeight="15" x14ac:dyDescent="0.25"/>
  <cols>
    <col min="3" max="3" width="13" bestFit="1" customWidth="1"/>
  </cols>
  <sheetData>
    <row r="1" spans="1:3" ht="15.75" thickBot="1" x14ac:dyDescent="0.3">
      <c r="A1" s="5" t="s">
        <v>270</v>
      </c>
      <c r="B1" s="16" t="s">
        <v>614</v>
      </c>
      <c r="C1" s="19" t="s">
        <v>615</v>
      </c>
    </row>
    <row r="2" spans="1:3" ht="15.75" thickBot="1" x14ac:dyDescent="0.3">
      <c r="A2" s="12">
        <v>1</v>
      </c>
      <c r="B2" s="17" t="s">
        <v>616</v>
      </c>
      <c r="C2" s="30">
        <v>30</v>
      </c>
    </row>
    <row r="3" spans="1:3" ht="15.75" thickBot="1" x14ac:dyDescent="0.3">
      <c r="A3" s="8">
        <f>A2+1</f>
        <v>2</v>
      </c>
      <c r="B3" s="18" t="s">
        <v>617</v>
      </c>
      <c r="C3" s="31">
        <v>40</v>
      </c>
    </row>
    <row r="4" spans="1:3" ht="15.75" thickBot="1" x14ac:dyDescent="0.3">
      <c r="A4" s="12">
        <f t="shared" ref="A4:A7" si="0">A3+1</f>
        <v>3</v>
      </c>
      <c r="B4" s="17" t="s">
        <v>618</v>
      </c>
      <c r="C4" s="30">
        <v>50</v>
      </c>
    </row>
    <row r="5" spans="1:3" ht="15.75" thickBot="1" x14ac:dyDescent="0.3">
      <c r="A5" s="8">
        <f t="shared" si="0"/>
        <v>4</v>
      </c>
      <c r="B5" s="18" t="s">
        <v>619</v>
      </c>
      <c r="C5" s="31">
        <v>60</v>
      </c>
    </row>
    <row r="6" spans="1:3" ht="15.75" thickBot="1" x14ac:dyDescent="0.3">
      <c r="A6" s="12">
        <f t="shared" si="0"/>
        <v>5</v>
      </c>
      <c r="B6" s="17" t="s">
        <v>620</v>
      </c>
      <c r="C6" s="30">
        <v>80</v>
      </c>
    </row>
    <row r="7" spans="1:3" ht="15.75" thickBot="1" x14ac:dyDescent="0.3">
      <c r="A7" s="8">
        <f t="shared" si="0"/>
        <v>6</v>
      </c>
      <c r="B7" s="18" t="s">
        <v>621</v>
      </c>
      <c r="C7" s="31">
        <v>100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1624A-BFAF-4F34-A1C3-53359C3A5590}">
  <dimension ref="A1:C7"/>
  <sheetViews>
    <sheetView workbookViewId="0">
      <selection sqref="A1:C7"/>
    </sheetView>
  </sheetViews>
  <sheetFormatPr baseColWidth="10" defaultRowHeight="15" x14ac:dyDescent="0.25"/>
  <sheetData>
    <row r="1" spans="1:3" ht="15.75" thickBot="1" x14ac:dyDescent="0.3">
      <c r="A1" s="5" t="s">
        <v>270</v>
      </c>
      <c r="B1" s="16" t="s">
        <v>546</v>
      </c>
      <c r="C1" s="19" t="s">
        <v>547</v>
      </c>
    </row>
    <row r="2" spans="1:3" ht="15.75" thickBot="1" x14ac:dyDescent="0.3">
      <c r="A2" s="12">
        <v>1</v>
      </c>
      <c r="B2" s="17" t="s">
        <v>548</v>
      </c>
      <c r="C2" s="20" t="s">
        <v>549</v>
      </c>
    </row>
    <row r="3" spans="1:3" ht="15.75" thickBot="1" x14ac:dyDescent="0.3">
      <c r="A3" s="8">
        <v>2</v>
      </c>
      <c r="B3" s="18" t="s">
        <v>550</v>
      </c>
      <c r="C3" s="21" t="s">
        <v>551</v>
      </c>
    </row>
    <row r="4" spans="1:3" ht="15.75" thickBot="1" x14ac:dyDescent="0.3">
      <c r="A4" s="12">
        <v>3</v>
      </c>
      <c r="B4" s="17" t="s">
        <v>552</v>
      </c>
      <c r="C4" s="20" t="s">
        <v>553</v>
      </c>
    </row>
    <row r="5" spans="1:3" ht="15.75" thickBot="1" x14ac:dyDescent="0.3">
      <c r="A5" s="8">
        <v>4</v>
      </c>
      <c r="B5" s="18" t="s">
        <v>554</v>
      </c>
      <c r="C5" s="21" t="s">
        <v>555</v>
      </c>
    </row>
    <row r="6" spans="1:3" ht="15.75" thickBot="1" x14ac:dyDescent="0.3">
      <c r="A6" s="12">
        <v>5</v>
      </c>
      <c r="B6" s="17" t="s">
        <v>556</v>
      </c>
      <c r="C6" s="20" t="s">
        <v>557</v>
      </c>
    </row>
    <row r="7" spans="1:3" ht="15.75" thickBot="1" x14ac:dyDescent="0.3">
      <c r="A7" s="8">
        <v>6</v>
      </c>
      <c r="B7" s="18" t="s">
        <v>558</v>
      </c>
      <c r="C7" s="21" t="s">
        <v>559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14DBC-696F-4BCA-A7DE-B29C057289C3}">
  <dimension ref="A1:C13"/>
  <sheetViews>
    <sheetView workbookViewId="0">
      <selection activeCell="F31" sqref="F31"/>
    </sheetView>
  </sheetViews>
  <sheetFormatPr baseColWidth="10" defaultRowHeight="15" x14ac:dyDescent="0.25"/>
  <cols>
    <col min="3" max="3" width="20.7109375" bestFit="1" customWidth="1"/>
  </cols>
  <sheetData>
    <row r="1" spans="1:3" ht="15.75" thickBot="1" x14ac:dyDescent="0.3">
      <c r="A1" s="5" t="s">
        <v>236</v>
      </c>
      <c r="B1" s="16" t="s">
        <v>228</v>
      </c>
      <c r="C1" s="19" t="s">
        <v>113</v>
      </c>
    </row>
    <row r="2" spans="1:3" ht="15.75" thickBot="1" x14ac:dyDescent="0.3">
      <c r="A2" s="12">
        <v>1</v>
      </c>
      <c r="B2" s="17" t="s">
        <v>119</v>
      </c>
      <c r="C2" s="20" t="e" vm="8">
        <v>#VALUE!</v>
      </c>
    </row>
    <row r="3" spans="1:3" ht="15.75" thickBot="1" x14ac:dyDescent="0.3">
      <c r="A3" s="8">
        <v>2</v>
      </c>
      <c r="B3" s="18" t="s">
        <v>229</v>
      </c>
      <c r="C3" s="21" t="e" vm="12">
        <v>#VALUE!</v>
      </c>
    </row>
    <row r="4" spans="1:3" ht="15.75" thickBot="1" x14ac:dyDescent="0.3">
      <c r="A4" s="12">
        <f>A3+1</f>
        <v>3</v>
      </c>
      <c r="B4" s="17" t="s">
        <v>230</v>
      </c>
      <c r="C4" s="20" t="e" vm="1">
        <v>#VALUE!</v>
      </c>
    </row>
    <row r="5" spans="1:3" ht="15.75" thickBot="1" x14ac:dyDescent="0.3">
      <c r="A5" s="8">
        <f t="shared" ref="A5:A13" si="0">A4+1</f>
        <v>4</v>
      </c>
      <c r="B5" s="18" t="s">
        <v>123</v>
      </c>
      <c r="C5" s="21" t="e" vm="7">
        <v>#VALUE!</v>
      </c>
    </row>
    <row r="6" spans="1:3" ht="15.75" thickBot="1" x14ac:dyDescent="0.3">
      <c r="A6" s="12">
        <f t="shared" si="0"/>
        <v>5</v>
      </c>
      <c r="B6" s="17" t="s">
        <v>231</v>
      </c>
      <c r="C6" s="20" t="e" vm="10">
        <v>#VALUE!</v>
      </c>
    </row>
    <row r="7" spans="1:3" ht="15.75" thickBot="1" x14ac:dyDescent="0.3">
      <c r="A7" s="8">
        <f t="shared" si="0"/>
        <v>6</v>
      </c>
      <c r="B7" s="18" t="s">
        <v>232</v>
      </c>
      <c r="C7" s="21" t="e" vm="3">
        <v>#VALUE!</v>
      </c>
    </row>
    <row r="8" spans="1:3" ht="15.75" thickBot="1" x14ac:dyDescent="0.3">
      <c r="A8" s="12">
        <f t="shared" si="0"/>
        <v>7</v>
      </c>
      <c r="B8" s="17" t="s">
        <v>233</v>
      </c>
      <c r="C8" s="20" t="e" vm="2">
        <v>#VALUE!</v>
      </c>
    </row>
    <row r="9" spans="1:3" ht="15.75" thickBot="1" x14ac:dyDescent="0.3">
      <c r="A9" s="8">
        <f t="shared" si="0"/>
        <v>8</v>
      </c>
      <c r="B9" s="18" t="s">
        <v>129</v>
      </c>
      <c r="C9" s="21" t="e" vm="6">
        <v>#VALUE!</v>
      </c>
    </row>
    <row r="10" spans="1:3" ht="15.75" thickBot="1" x14ac:dyDescent="0.3">
      <c r="A10" s="12">
        <f t="shared" si="0"/>
        <v>9</v>
      </c>
      <c r="B10" s="17" t="s">
        <v>126</v>
      </c>
      <c r="C10" s="20" t="e" vm="4">
        <v>#VALUE!</v>
      </c>
    </row>
    <row r="11" spans="1:3" ht="15.75" thickBot="1" x14ac:dyDescent="0.3">
      <c r="A11" s="8">
        <f t="shared" si="0"/>
        <v>10</v>
      </c>
      <c r="B11" s="18" t="s">
        <v>234</v>
      </c>
      <c r="C11" s="21" t="e" vm="9">
        <v>#VALUE!</v>
      </c>
    </row>
    <row r="12" spans="1:3" ht="15.75" thickBot="1" x14ac:dyDescent="0.3">
      <c r="A12" s="12">
        <f t="shared" si="0"/>
        <v>11</v>
      </c>
      <c r="B12" s="17" t="s">
        <v>131</v>
      </c>
      <c r="C12" s="20" t="e" vm="5">
        <v>#VALUE!</v>
      </c>
    </row>
    <row r="13" spans="1:3" ht="15.75" thickBot="1" x14ac:dyDescent="0.3">
      <c r="A13" s="8">
        <f t="shared" si="0"/>
        <v>12</v>
      </c>
      <c r="B13" s="18" t="s">
        <v>235</v>
      </c>
      <c r="C13" s="21" t="e" vm="11">
        <v>#VALUE!</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17F563-AA64-4F30-BB91-C4060B6032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PlainAccidentes</vt:lpstr>
      <vt:lpstr>PlainIntersecciones</vt:lpstr>
      <vt:lpstr>Accidentes</vt:lpstr>
      <vt:lpstr>Intersecciones</vt:lpstr>
      <vt:lpstr>TipoAccidente</vt:lpstr>
      <vt:lpstr>EstadoVia</vt:lpstr>
      <vt:lpstr>TipoVia</vt:lpstr>
      <vt:lpstr>TipoAutomovilResponsable</vt:lpstr>
      <vt:lpstr>TipoIntersección</vt:lpstr>
      <vt:lpstr>Limitevelocidad</vt:lpstr>
      <vt:lpstr>TipoClima</vt:lpstr>
      <vt:lpstr>Ciudades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Maria Camila Samper Meza</cp:lastModifiedBy>
  <dcterms:created xsi:type="dcterms:W3CDTF">2026-07-21T20:57:00Z</dcterms:created>
  <dcterms:modified xsi:type="dcterms:W3CDTF">2026-07-23T12:48:03Z</dcterms:modified>
</cp:coreProperties>
</file>
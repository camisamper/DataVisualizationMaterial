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LIBRO\Repositorio de datos\"/>
    </mc:Choice>
  </mc:AlternateContent>
  <xr:revisionPtr revIDLastSave="0" documentId="13_ncr:1_{F7B1A91A-73DA-4E84-8440-34D53360C874}" xr6:coauthVersionLast="47" xr6:coauthVersionMax="47" xr10:uidLastSave="{00000000-0000-0000-0000-000000000000}"/>
  <bookViews>
    <workbookView xWindow="5340" yWindow="2955" windowWidth="21600" windowHeight="11385" xr2:uid="{29844BA0-AC7C-4A01-890B-B3AEA252CC4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C15" i="1"/>
  <c r="C16" i="1"/>
  <c r="C17" i="1"/>
  <c r="C2" i="1"/>
  <c r="C3" i="1"/>
  <c r="C4" i="1"/>
  <c r="C5" i="1"/>
  <c r="C6" i="1"/>
  <c r="C7" i="1"/>
  <c r="C8" i="1"/>
  <c r="C9" i="1"/>
  <c r="C10" i="1"/>
  <c r="C11" i="1"/>
  <c r="C12" i="1"/>
</calcChain>
</file>

<file path=xl/sharedStrings.xml><?xml version="1.0" encoding="utf-8"?>
<sst xmlns="http://schemas.openxmlformats.org/spreadsheetml/2006/main" count="24" uniqueCount="20">
  <si>
    <t>Ciudad</t>
  </si>
  <si>
    <t>Bogotá</t>
  </si>
  <si>
    <t>Medellín</t>
  </si>
  <si>
    <t>Cali</t>
  </si>
  <si>
    <t>Barranquilla</t>
  </si>
  <si>
    <t>Santa Marta</t>
  </si>
  <si>
    <t>Cartagena</t>
  </si>
  <si>
    <t>Pereira</t>
  </si>
  <si>
    <t>Manizales</t>
  </si>
  <si>
    <t>Bucaramanga</t>
  </si>
  <si>
    <t>Cúcuta</t>
  </si>
  <si>
    <t>Villavicencio</t>
  </si>
  <si>
    <t>Accidentes</t>
  </si>
  <si>
    <t>Puerto Estrella</t>
  </si>
  <si>
    <t>Población</t>
  </si>
  <si>
    <t>Pasto</t>
  </si>
  <si>
    <t>Buenaventura</t>
  </si>
  <si>
    <t>Ibagué</t>
  </si>
  <si>
    <t>Sin datos</t>
  </si>
  <si>
    <t>Valledupar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</si>
</sst>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  <font>
      <sz val="11"/>
      <color theme="1"/>
      <name val="Aptos Narrow"/>
      <family val="2"/>
      <scheme val="minor"/>
    </font>
    <font>
      <i/>
      <sz val="9"/>
      <color rgb="FF000000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A6A6A6"/>
      </top>
      <bottom style="medium">
        <color rgb="FFD9D9D9"/>
      </bottom>
      <diagonal/>
    </border>
    <border>
      <left/>
      <right style="medium">
        <color rgb="FFD9D9D9"/>
      </right>
      <top style="medium">
        <color rgb="FFA6A6A6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/>
      <right style="medium">
        <color rgb="FFD9D9D9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5" fontId="2" fillId="3" borderId="3" xfId="1" applyNumberFormat="1" applyFont="1" applyFill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5" fontId="2" fillId="3" borderId="6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amper\Dropbox\LIBRO\Repositorio%20de%20datos\Tabla%2012_DatosPoblaci&#243;nDANE.xlsx" TargetMode="External"/><Relationship Id="rId1" Type="http://schemas.openxmlformats.org/officeDocument/2006/relationships/externalLinkPath" Target="Tabla%2012_DatosPoblaci&#243;nDA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">
          <cell r="B1" t="str">
            <v>Área Urbana</v>
          </cell>
          <cell r="C1" t="str">
            <v>Estimación de población (2025)</v>
          </cell>
        </row>
        <row r="2">
          <cell r="B2" t="str">
            <v>Bogotá</v>
          </cell>
          <cell r="C2">
            <v>10624315</v>
          </cell>
        </row>
        <row r="3">
          <cell r="B3" t="str">
            <v>Medellín</v>
          </cell>
          <cell r="C3">
            <v>3350384</v>
          </cell>
        </row>
        <row r="4">
          <cell r="B4" t="str">
            <v>Cali</v>
          </cell>
          <cell r="C4">
            <v>2700232</v>
          </cell>
        </row>
        <row r="5">
          <cell r="B5" t="str">
            <v>Barranquilla</v>
          </cell>
          <cell r="C5">
            <v>2208021</v>
          </cell>
        </row>
        <row r="6">
          <cell r="B6" t="str">
            <v>Cartagena</v>
          </cell>
          <cell r="C6">
            <v>1008584</v>
          </cell>
        </row>
        <row r="7">
          <cell r="B7" t="str">
            <v>Bucaramanga</v>
          </cell>
          <cell r="C7">
            <v>939291</v>
          </cell>
        </row>
        <row r="8">
          <cell r="B8" t="str">
            <v>Cúcuta</v>
          </cell>
          <cell r="C8">
            <v>848408</v>
          </cell>
        </row>
        <row r="9">
          <cell r="B9" t="str">
            <v>Pereira</v>
          </cell>
          <cell r="C9">
            <v>602831</v>
          </cell>
        </row>
        <row r="10">
          <cell r="B10" t="str">
            <v>Valledupar</v>
          </cell>
          <cell r="C10">
            <v>574824</v>
          </cell>
        </row>
        <row r="11">
          <cell r="B11" t="str">
            <v>Ibagué</v>
          </cell>
          <cell r="C11">
            <v>494316</v>
          </cell>
        </row>
        <row r="12">
          <cell r="B12" t="str">
            <v>Santa Marta</v>
          </cell>
          <cell r="C12">
            <v>442455</v>
          </cell>
        </row>
        <row r="13">
          <cell r="B13" t="str">
            <v>Manizales</v>
          </cell>
          <cell r="C13">
            <v>440407</v>
          </cell>
        </row>
        <row r="14">
          <cell r="B14" t="str">
            <v>Buenaventura</v>
          </cell>
          <cell r="C14">
            <v>438063</v>
          </cell>
        </row>
        <row r="15">
          <cell r="B15" t="str">
            <v>Villavicencio</v>
          </cell>
          <cell r="C15">
            <v>383028</v>
          </cell>
        </row>
        <row r="16">
          <cell r="B16" t="str">
            <v>Pasto</v>
          </cell>
          <cell r="C16">
            <v>371637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5881-D919-4FE1-9AF4-7DE739BE5216}">
  <dimension ref="A1:C17"/>
  <sheetViews>
    <sheetView tabSelected="1" workbookViewId="0">
      <selection sqref="A1:C17"/>
    </sheetView>
  </sheetViews>
  <sheetFormatPr baseColWidth="10" defaultRowHeight="15" x14ac:dyDescent="0.25"/>
  <cols>
    <col min="1" max="1" width="14.5703125" customWidth="1"/>
    <col min="2" max="2" width="11.140625" bestFit="1" customWidth="1"/>
    <col min="3" max="3" width="13.42578125" bestFit="1" customWidth="1"/>
  </cols>
  <sheetData>
    <row r="1" spans="1:3" ht="15.75" thickBot="1" x14ac:dyDescent="0.3">
      <c r="A1" s="1" t="s">
        <v>0</v>
      </c>
      <c r="B1" s="1" t="s">
        <v>12</v>
      </c>
      <c r="C1" s="1" t="s">
        <v>14</v>
      </c>
    </row>
    <row r="2" spans="1:3" ht="15.75" thickBot="1" x14ac:dyDescent="0.3">
      <c r="A2" s="13" t="s">
        <v>1</v>
      </c>
      <c r="B2" s="4">
        <v>2836</v>
      </c>
      <c r="C2" s="6">
        <f>VLOOKUP(A2,'[1]Hoja 1'!$B:$C,2,0)</f>
        <v>10624315</v>
      </c>
    </row>
    <row r="3" spans="1:3" ht="15.75" thickBot="1" x14ac:dyDescent="0.3">
      <c r="A3" s="14" t="s">
        <v>8</v>
      </c>
      <c r="B3" s="3">
        <v>2403</v>
      </c>
      <c r="C3" s="7">
        <f>VLOOKUP(A3,'[1]Hoja 1'!$B:$C,2,0)</f>
        <v>440407</v>
      </c>
    </row>
    <row r="4" spans="1:3" ht="15.75" thickBot="1" x14ac:dyDescent="0.3">
      <c r="A4" s="15" t="s">
        <v>10</v>
      </c>
      <c r="B4" s="2">
        <v>2279</v>
      </c>
      <c r="C4" s="8">
        <f>VLOOKUP(A4,'[1]Hoja 1'!$B:$C,2,0)</f>
        <v>848408</v>
      </c>
    </row>
    <row r="5" spans="1:3" ht="15.75" thickBot="1" x14ac:dyDescent="0.3">
      <c r="A5" s="14" t="s">
        <v>2</v>
      </c>
      <c r="B5" s="3">
        <v>2202</v>
      </c>
      <c r="C5" s="7">
        <f>VLOOKUP(A5,'[1]Hoja 1'!$B:$C,2,0)</f>
        <v>3350384</v>
      </c>
    </row>
    <row r="6" spans="1:3" ht="15.75" thickBot="1" x14ac:dyDescent="0.3">
      <c r="A6" s="15" t="s">
        <v>11</v>
      </c>
      <c r="B6" s="2">
        <v>2128</v>
      </c>
      <c r="C6" s="8">
        <f>VLOOKUP(A6,'[1]Hoja 1'!$B:$C,2,0)</f>
        <v>383028</v>
      </c>
    </row>
    <row r="7" spans="1:3" ht="15.75" thickBot="1" x14ac:dyDescent="0.3">
      <c r="A7" s="14" t="s">
        <v>9</v>
      </c>
      <c r="B7" s="3">
        <v>1982</v>
      </c>
      <c r="C7" s="7">
        <f>VLOOKUP(A7,'[1]Hoja 1'!$B:$C,2,0)</f>
        <v>939291</v>
      </c>
    </row>
    <row r="8" spans="1:3" ht="15.75" thickBot="1" x14ac:dyDescent="0.3">
      <c r="A8" s="15" t="s">
        <v>5</v>
      </c>
      <c r="B8" s="2">
        <v>1958</v>
      </c>
      <c r="C8" s="8">
        <f>VLOOKUP(A8,'[1]Hoja 1'!$B:$C,2,0)</f>
        <v>442455</v>
      </c>
    </row>
    <row r="9" spans="1:3" ht="15.75" thickBot="1" x14ac:dyDescent="0.3">
      <c r="A9" s="14" t="s">
        <v>4</v>
      </c>
      <c r="B9" s="3">
        <v>1782</v>
      </c>
      <c r="C9" s="7">
        <f>VLOOKUP(A9,'[1]Hoja 1'!$B:$C,2,0)</f>
        <v>2208021</v>
      </c>
    </row>
    <row r="10" spans="1:3" ht="15.75" thickBot="1" x14ac:dyDescent="0.3">
      <c r="A10" s="15" t="s">
        <v>3</v>
      </c>
      <c r="B10" s="2">
        <v>1732</v>
      </c>
      <c r="C10" s="8">
        <f>VLOOKUP(A10,'[1]Hoja 1'!$B:$C,2,0)</f>
        <v>2700232</v>
      </c>
    </row>
    <row r="11" spans="1:3" ht="15.75" thickBot="1" x14ac:dyDescent="0.3">
      <c r="A11" s="14" t="s">
        <v>7</v>
      </c>
      <c r="B11" s="3">
        <v>1691</v>
      </c>
      <c r="C11" s="7">
        <f>VLOOKUP(A11,'[1]Hoja 1'!$B:$C,2,0)</f>
        <v>602831</v>
      </c>
    </row>
    <row r="12" spans="1:3" x14ac:dyDescent="0.25">
      <c r="A12" s="16" t="s">
        <v>6</v>
      </c>
      <c r="B12" s="5">
        <v>1407</v>
      </c>
      <c r="C12" s="9">
        <f>VLOOKUP(A12,'[1]Hoja 1'!$B:$C,2,0)</f>
        <v>1008584</v>
      </c>
    </row>
    <row r="13" spans="1:3" ht="15.75" thickBot="1" x14ac:dyDescent="0.3">
      <c r="A13" s="14" t="s">
        <v>13</v>
      </c>
      <c r="B13" s="3">
        <v>427</v>
      </c>
      <c r="C13" s="10" t="s">
        <v>18</v>
      </c>
    </row>
    <row r="14" spans="1:3" x14ac:dyDescent="0.25">
      <c r="A14" s="16" t="s">
        <v>19</v>
      </c>
      <c r="B14" s="11" t="s">
        <v>18</v>
      </c>
      <c r="C14" s="9">
        <f>VLOOKUP(A14,'[1]Hoja 1'!$B:$C,2,0)</f>
        <v>574824</v>
      </c>
    </row>
    <row r="15" spans="1:3" ht="15.75" thickBot="1" x14ac:dyDescent="0.3">
      <c r="A15" s="14" t="s">
        <v>17</v>
      </c>
      <c r="B15" s="12" t="s">
        <v>18</v>
      </c>
      <c r="C15" s="10">
        <f>VLOOKUP(A15,'[1]Hoja 1'!$B:$C,2,0)</f>
        <v>494316</v>
      </c>
    </row>
    <row r="16" spans="1:3" x14ac:dyDescent="0.25">
      <c r="A16" s="16" t="s">
        <v>16</v>
      </c>
      <c r="B16" s="11" t="s">
        <v>18</v>
      </c>
      <c r="C16" s="9">
        <f>VLOOKUP(A16,'[1]Hoja 1'!$B:$C,2,0)</f>
        <v>438063</v>
      </c>
    </row>
    <row r="17" spans="1:3" ht="15.75" thickBot="1" x14ac:dyDescent="0.3">
      <c r="A17" s="14" t="s">
        <v>15</v>
      </c>
      <c r="B17" s="12" t="s">
        <v>18</v>
      </c>
      <c r="C17" s="10">
        <f>VLOOKUP(A17,'[1]Hoja 1'!$B:$C,2,0)</f>
        <v>371637</v>
      </c>
    </row>
  </sheetData>
  <sortState xmlns:xlrd2="http://schemas.microsoft.com/office/spreadsheetml/2017/richdata2" ref="A2:B12">
    <sortCondition descending="1" ref="B2:B12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2026-07-21T14:27:27Z</dcterms:created>
  <dcterms:modified xsi:type="dcterms:W3CDTF">2026-07-21T16:42:13Z</dcterms:modified>
</cp:coreProperties>
</file>